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zrada budzeta" sheetId="1" state="visible" r:id="rId3"/>
  </sheets>
  <definedNames>
    <definedName function="false" hidden="false" localSheetId="0" name="_xlnm.Print_Area" vbProcedure="false">'Razrada budzeta'!$A$1:$H$44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<sst xmlns="http://schemas.openxmlformats.org/spreadsheetml/2006/main" count="52" uniqueCount="52">
  <si>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KLUB VODENIH SPORTOVA „S.C.U.B.A.“ SARAJEVO</t>
  </si>
  <si>
    <t xml:space="preserve">Projekat: „RONIOCI SUTRAŠNJICE“ — program sportskog razvoja i edukacije mladih ronilaca</t>
  </si>
  <si>
    <t xml:space="preserve">Javni oglas za dodjelu donacija „JP BH POŠTA“ d.o.o. Sarajevo u 2026. godini   |   Oblast: SPORT</t>
  </si>
  <si>
    <t xml:space="preserve">Period provedbe: 01.11.2026. — 31.05.2027. (7 mjeseci)   |   Lokacije: Kanton Sarajevo, Jablaničko i Boračko jezero (Konjic)</t>
  </si>
  <si>
    <t xml:space="preserve">RAZRADA BUDŽETA</t>
  </si>
  <si>
    <t xml:space="preserve">Br.</t>
  </si>
  <si>
    <t xml:space="preserve">Vrsta troška</t>
  </si>
  <si>
    <t xml:space="preserve">Jedinica</t>
  </si>
  <si>
    <t xml:space="preserve">Broj jed.</t>
  </si>
  <si>
    <t xml:space="preserve">Cijena po jed. (KM)</t>
  </si>
  <si>
    <t xml:space="preserve">Trošak JP BH POŠTA (KM)</t>
  </si>
  <si>
    <t xml:space="preserve">Vlastito učešće (KM)</t>
  </si>
  <si>
    <t xml:space="preserve">Ukupno (KM)</t>
  </si>
  <si>
    <t xml:space="preserve">Najam bazenskih termina za sportsku obuku (30 termina, po 10 termina za svaku od tri grupe)</t>
  </si>
  <si>
    <t xml:space="preserve">termin</t>
  </si>
  <si>
    <t xml:space="preserve">Punjenje ronilačkih boca komprimiranim zrakom</t>
  </si>
  <si>
    <t xml:space="preserve">punjenje</t>
  </si>
  <si>
    <t xml:space="preserve">Dizajn, priprema i štampa promotivnog materijala sa logotipom donatora (baneri, zastave, plakati, letci)</t>
  </si>
  <si>
    <t xml:space="preserve">serija</t>
  </si>
  <si>
    <t xml:space="preserve">SSI certifikacijski i digitalni edukacijski paketi za mlade sportiste</t>
  </si>
  <si>
    <t xml:space="preserve">polaznik</t>
  </si>
  <si>
    <t xml:space="preserve">Transport opreme i polaznika na otvorene vode (najam kombija, 6 terenskih dana)</t>
  </si>
  <si>
    <t xml:space="preserve">dan</t>
  </si>
  <si>
    <t xml:space="preserve">Servis i sigurnosna priprema ronilačke opreme za obuku mladih (servisni kitovi za regulatore, membrane, filteri, konektori — 16 stavki)</t>
  </si>
  <si>
    <t xml:space="preserve">paket</t>
  </si>
  <si>
    <t xml:space="preserve">Osiguranje mladih sportista od nezgode za vrijeme obuke i zarona</t>
  </si>
  <si>
    <t xml:space="preserve">polisa</t>
  </si>
  <si>
    <t xml:space="preserve">Volonterski rad licenciranih instruktora i vodiča (6 osoba × 45 sati) — nenovčano učešće</t>
  </si>
  <si>
    <t xml:space="preserve">sat</t>
  </si>
  <si>
    <t xml:space="preserve">Ustupanje klupske ronilačke opreme polaznicima na korištenje (30 kompleta × 8 termina) — nenovčano učešće</t>
  </si>
  <si>
    <t xml:space="preserve">kompl./termin</t>
  </si>
  <si>
    <t xml:space="preserve">UKUPNO (KM)</t>
  </si>
  <si>
    <t xml:space="preserve">REKAPITULACIJA PO IZVORIMA FINANSIRANJA</t>
  </si>
  <si>
    <t xml:space="preserve">Traženo od „JP BH POŠTA“ d.o.o. Sarajevo — novčano (stavke 1, 2, 3, 5 i 6)</t>
  </si>
  <si>
    <t xml:space="preserve">Vlastito učešće Kluba — novčano (stavke 4 i 7)</t>
  </si>
  <si>
    <t xml:space="preserve">Vlastito učešće Kluba — nenovčano / in-kind (stavke 8 i 9)</t>
  </si>
  <si>
    <t xml:space="preserve">UKUPNA VRIJEDNOST PROJEKTA</t>
  </si>
  <si>
    <t xml:space="preserve">Kontrola (mora biti 0,00): rekapitulacija minus ukupno iz tabele stavki</t>
  </si>
  <si>
    <t xml:space="preserve">NAPOMENE UZ BUDŽET:</t>
  </si>
  <si>
    <t xml:space="preserve">•  Cijena bazenskog termina (stavka 1) usklađena je sa važećim ugovorom Kluba sa bazenom i iznosi 50,00 KM po terminu.</t>
  </si>
  <si>
    <t xml:space="preserve">•  Stavka 3 (promotivni materijal sa logotipom donatora) zasnovana je na prikupljenoj ponudi za grafičku pripremu i štampu.</t>
  </si>
  <si>
    <t xml:space="preserve">•  Stavka 6 zasnovana je na predračunu dobavljača „Intea BH“ d.o.o. Sarajevo, ponuda br. 027-06/2026 od 17.06.2026. godine, u iznosu od 4.388,38 KM sa uključenim PDV-om; predračun se prilaže uz prijavu.</t>
  </si>
  <si>
    <t xml:space="preserve">•  Stavke 1, 2, 3, 5 i 6 predstavljaju direktne troškove sportske obuke i edukacije mladih sportista, za koje se traži donacija „JP BH POŠTA“ d.o.o. Sarajevo, u ukupnom iznosu od 11.250,00 KM (41,67%).</t>
  </si>
  <si>
    <t xml:space="preserve">•  Stavke 4, 7, 8 i 9 finansiraju se iz vlastitih sredstava Kluba, u ukupnom iznosu od 15.750,00 KM (58,33%), od čega 5.400,00 KM novčano i 10.350,00 KM nenovčano (in-kind).</t>
  </si>
  <si>
    <t xml:space="preserve">•  Stavke 8 i 9 vrednovane su po realnim tržišnim cijenama i ne opterećuju donirana sredstva.</t>
  </si>
  <si>
    <t xml:space="preserve">•  Svi iznosi iskazani su u konvertibilnim markama (KM) sa uključenim PDV-om. Klub nije obveznik PDV-a, pa mu ulazni PDV nije povratan i predstavlja stvarni trošak projekta.</t>
  </si>
  <si>
    <t xml:space="preserve">•  Projekat nije komercijalan, ne ostvaruje prihod i ne donosi finansijsku korist Klubu; učešće mladih sportista je u potpunosti besplatno.</t>
  </si>
  <si>
    <t xml:space="preserve">•  Sve nabavke provode se uz prethodno prikupljanje ponuda, a utrošak se pravda računima i dokazima o plaćanju.</t>
  </si>
  <si>
    <t xml:space="preserve">U Sarajevu, ______________ 2026. godine</t>
  </si>
  <si>
    <t xml:space="preserve">Podnosilac prijave  /  M.P.</t>
  </si>
  <si>
    <t xml:space="preserve">_______________________________</t>
  </si>
  <si>
    <t xml:space="preserve">Adnan Drnda, predsjednik KVS „S.C.U.B.A.“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</si>
</sst>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1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4"/>
      </left>
      <right style="thin">
        <color rgb="FF9AA5B4"/>
      </right>
      <top style="thin">
        <color rgb="FF9AA5B4"/>
      </top>
      <bottom style="thin">
        <color rgb="FF9AA5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1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AA5B4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5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</row>
    <row r="6" customFormat="false" ht="21.75" hidden="false" customHeight="true" outlineLevel="0" collapsed="false">
      <c r="A6" s="4" t="s">
        <v>4</v>
      </c>
      <c r="B6" s="4"/>
      <c r="C6" s="4"/>
      <c r="D6" s="4"/>
      <c r="E6" s="4"/>
      <c r="F6" s="4"/>
      <c r="G6" s="4"/>
      <c r="H6" s="4"/>
    </row>
    <row r="8" customFormat="false" ht="33.75" hidden="false" customHeight="true" outlineLevel="0" collapsed="false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5" t="s">
        <v>12</v>
      </c>
    </row>
    <row r="9" customFormat="false" ht="30" hidden="false" customHeight="true" outlineLevel="0" collapsed="false">
      <c r="A9" s="6" t="n">
        <v>1</v>
      </c>
      <c r="B9" s="7" t="s">
        <v>13</v>
      </c>
      <c r="C9" s="6" t="s">
        <v>14</v>
      </c>
      <c r="D9" s="8" t="n">
        <v>30</v>
      </c>
      <c r="E9" s="9" t="n">
        <v>50</v>
      </c>
      <c r="F9" s="9" t="n">
        <f aca="false">D9*E9</f>
        <v>1500</v>
      </c>
      <c r="G9" s="9"/>
      <c r="H9" s="9" t="n">
        <f aca="false">SUM(F9:G9)</f>
        <v>1500</v>
      </c>
    </row>
    <row r="10" customFormat="false" ht="30" hidden="false" customHeight="true" outlineLevel="0" collapsed="false">
      <c r="A10" s="6" t="n">
        <v>2</v>
      </c>
      <c r="B10" s="7" t="s">
        <v>15</v>
      </c>
      <c r="C10" s="6" t="s">
        <v>16</v>
      </c>
      <c r="D10" s="8" t="n">
        <v>260</v>
      </c>
      <c r="E10" s="9" t="n">
        <v>8</v>
      </c>
      <c r="F10" s="9" t="n">
        <f aca="false">D10*E10</f>
        <v>2080</v>
      </c>
      <c r="G10" s="9"/>
      <c r="H10" s="9" t="n">
        <f aca="false">SUM(F10:G10)</f>
        <v>2080</v>
      </c>
    </row>
    <row r="11" customFormat="false" ht="30" hidden="false" customHeight="true" outlineLevel="0" collapsed="false">
      <c r="A11" s="6" t="n">
        <v>3</v>
      </c>
      <c r="B11" s="7" t="s">
        <v>17</v>
      </c>
      <c r="C11" s="6" t="s">
        <v>18</v>
      </c>
      <c r="D11" s="8" t="n">
        <v>1</v>
      </c>
      <c r="E11" s="9" t="n">
        <v>881.62</v>
      </c>
      <c r="F11" s="9" t="n">
        <f aca="false">D11*E11</f>
        <v>881.62</v>
      </c>
      <c r="G11" s="9"/>
      <c r="H11" s="9" t="n">
        <f aca="false">SUM(F11:G11)</f>
        <v>881.62</v>
      </c>
    </row>
    <row r="12" customFormat="false" ht="30" hidden="false" customHeight="true" outlineLevel="0" collapsed="false">
      <c r="A12" s="6" t="n">
        <v>4</v>
      </c>
      <c r="B12" s="7" t="s">
        <v>19</v>
      </c>
      <c r="C12" s="6" t="s">
        <v>20</v>
      </c>
      <c r="D12" s="8" t="n">
        <v>30</v>
      </c>
      <c r="E12" s="9" t="n">
        <v>145</v>
      </c>
      <c r="F12" s="9"/>
      <c r="G12" s="9" t="n">
        <f aca="false">D12*E12</f>
        <v>4350</v>
      </c>
      <c r="H12" s="9" t="n">
        <f aca="false">SUM(F12:G12)</f>
        <v>4350</v>
      </c>
    </row>
    <row r="13" customFormat="false" ht="30" hidden="false" customHeight="true" outlineLevel="0" collapsed="false">
      <c r="A13" s="6" t="n">
        <v>5</v>
      </c>
      <c r="B13" s="7" t="s">
        <v>21</v>
      </c>
      <c r="C13" s="6" t="s">
        <v>22</v>
      </c>
      <c r="D13" s="8" t="n">
        <v>6</v>
      </c>
      <c r="E13" s="9" t="n">
        <v>400</v>
      </c>
      <c r="F13" s="9" t="n">
        <f aca="false">D13*E13</f>
        <v>2400</v>
      </c>
      <c r="G13" s="9"/>
      <c r="H13" s="9" t="n">
        <f aca="false">SUM(F13:G13)</f>
        <v>2400</v>
      </c>
    </row>
    <row r="14" customFormat="false" ht="30" hidden="false" customHeight="true" outlineLevel="0" collapsed="false">
      <c r="A14" s="6" t="n">
        <v>6</v>
      </c>
      <c r="B14" s="7" t="s">
        <v>23</v>
      </c>
      <c r="C14" s="6" t="s">
        <v>24</v>
      </c>
      <c r="D14" s="8" t="n">
        <v>1</v>
      </c>
      <c r="E14" s="9" t="n">
        <v>4388.38</v>
      </c>
      <c r="F14" s="9" t="n">
        <f aca="false">D14*E14</f>
        <v>4388.38</v>
      </c>
      <c r="G14" s="9"/>
      <c r="H14" s="9" t="n">
        <f aca="false">SUM(F14:G14)</f>
        <v>4388.38</v>
      </c>
    </row>
    <row r="15" customFormat="false" ht="30" hidden="false" customHeight="true" outlineLevel="0" collapsed="false">
      <c r="A15" s="6" t="n">
        <v>7</v>
      </c>
      <c r="B15" s="7" t="s">
        <v>25</v>
      </c>
      <c r="C15" s="6" t="s">
        <v>26</v>
      </c>
      <c r="D15" s="8" t="n">
        <v>30</v>
      </c>
      <c r="E15" s="9" t="n">
        <v>35</v>
      </c>
      <c r="F15" s="9"/>
      <c r="G15" s="9" t="n">
        <f aca="false">D15*E15</f>
        <v>1050</v>
      </c>
      <c r="H15" s="9" t="n">
        <f aca="false">SUM(F15:G15)</f>
        <v>1050</v>
      </c>
    </row>
    <row r="16" customFormat="false" ht="30" hidden="false" customHeight="true" outlineLevel="0" collapsed="false">
      <c r="A16" s="6" t="n">
        <v>8</v>
      </c>
      <c r="B16" s="7" t="s">
        <v>27</v>
      </c>
      <c r="C16" s="6" t="s">
        <v>28</v>
      </c>
      <c r="D16" s="8" t="n">
        <v>270</v>
      </c>
      <c r="E16" s="9" t="n">
        <v>25</v>
      </c>
      <c r="F16" s="9"/>
      <c r="G16" s="9" t="n">
        <f aca="false">D16*E16</f>
        <v>6750</v>
      </c>
      <c r="H16" s="9" t="n">
        <f aca="false">SUM(F16:G16)</f>
        <v>6750</v>
      </c>
    </row>
    <row r="17" customFormat="false" ht="30" hidden="false" customHeight="true" outlineLevel="0" collapsed="false">
      <c r="A17" s="6" t="n">
        <v>9</v>
      </c>
      <c r="B17" s="7" t="s">
        <v>29</v>
      </c>
      <c r="C17" s="6" t="s">
        <v>30</v>
      </c>
      <c r="D17" s="8" t="n">
        <v>240</v>
      </c>
      <c r="E17" s="9" t="n">
        <v>15</v>
      </c>
      <c r="F17" s="9"/>
      <c r="G17" s="9" t="n">
        <f aca="false">D17*E17</f>
        <v>3600</v>
      </c>
      <c r="H17" s="9" t="n">
        <f aca="false">SUM(F17:G17)</f>
        <v>3600</v>
      </c>
    </row>
    <row r="18" customFormat="false" ht="21.75" hidden="false" customHeight="true" outlineLevel="0" collapsed="false">
      <c r="A18" s="10"/>
      <c r="B18" s="11" t="s">
        <v>31</v>
      </c>
      <c r="C18" s="10"/>
      <c r="D18" s="10"/>
      <c r="E18" s="10"/>
      <c r="F18" s="12" t="n">
        <f aca="false">SUM(F9:F17)</f>
        <v>11250</v>
      </c>
      <c r="G18" s="12" t="n">
        <f aca="false">SUM(G9:G17)</f>
        <v>15750</v>
      </c>
      <c r="H18" s="12" t="n">
        <f aca="false">SUM(H9:H17)</f>
        <v>27000</v>
      </c>
    </row>
    <row r="20" customFormat="false" ht="15" hidden="false" customHeight="false" outlineLevel="0" collapsed="false">
      <c r="A20" s="13" t="s">
        <v>32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7" t="s">
        <v>33</v>
      </c>
      <c r="B21" s="7"/>
      <c r="C21" s="7"/>
      <c r="D21" s="7"/>
      <c r="E21" s="7"/>
      <c r="F21" s="9" t="n">
        <f aca="false">F18</f>
        <v>11250</v>
      </c>
      <c r="G21" s="14" t="n">
        <f aca="false">F21/$F$24</f>
        <v>0.416666666666667</v>
      </c>
      <c r="H21" s="14"/>
    </row>
    <row r="22" customFormat="false" ht="15" hidden="false" customHeight="true" outlineLevel="0" collapsed="false">
      <c r="A22" s="7" t="s">
        <v>34</v>
      </c>
      <c r="B22" s="7"/>
      <c r="C22" s="7"/>
      <c r="D22" s="7"/>
      <c r="E22" s="7"/>
      <c r="F22" s="9" t="n">
        <f aca="false">G12+G15</f>
        <v>5400</v>
      </c>
      <c r="G22" s="14" t="n">
        <f aca="false">F22/$F$24</f>
        <v>0.2</v>
      </c>
      <c r="H22" s="14"/>
    </row>
    <row r="23" customFormat="false" ht="15" hidden="false" customHeight="true" outlineLevel="0" collapsed="false">
      <c r="A23" s="7" t="s">
        <v>35</v>
      </c>
      <c r="B23" s="7"/>
      <c r="C23" s="7"/>
      <c r="D23" s="7"/>
      <c r="E23" s="7"/>
      <c r="F23" s="9" t="n">
        <f aca="false">G16+G17</f>
        <v>10350</v>
      </c>
      <c r="G23" s="14" t="n">
        <f aca="false">F23/$F$24</f>
        <v>0.383333333333333</v>
      </c>
      <c r="H23" s="14"/>
    </row>
    <row r="24" customFormat="false" ht="15" hidden="false" customHeight="true" outlineLevel="0" collapsed="false">
      <c r="A24" s="11" t="s">
        <v>36</v>
      </c>
      <c r="B24" s="11"/>
      <c r="C24" s="11"/>
      <c r="D24" s="11"/>
      <c r="E24" s="11"/>
      <c r="F24" s="12" t="n">
        <f aca="false">SUM(F21:F23)</f>
        <v>27000</v>
      </c>
      <c r="G24" s="15" t="n">
        <f aca="false">F24/$F$24</f>
        <v>1</v>
      </c>
      <c r="H24" s="15"/>
    </row>
    <row r="25" customFormat="false" ht="15" hidden="false" customHeight="true" outlineLevel="0" collapsed="false">
      <c r="A25" s="16" t="s">
        <v>37</v>
      </c>
      <c r="B25" s="16"/>
      <c r="C25" s="16"/>
      <c r="D25" s="16"/>
      <c r="E25" s="16"/>
      <c r="F25" s="17" t="n">
        <f aca="false">F24-H18</f>
        <v>0</v>
      </c>
    </row>
    <row r="27" customFormat="false" ht="15" hidden="false" customHeight="false" outlineLevel="0" collapsed="false">
      <c r="A27" s="18" t="s">
        <v>38</v>
      </c>
      <c r="B27" s="18"/>
      <c r="C27" s="18"/>
      <c r="D27" s="18"/>
      <c r="E27" s="18"/>
      <c r="F27" s="18"/>
      <c r="G27" s="18"/>
      <c r="H27" s="18"/>
    </row>
    <row r="28" customFormat="false" ht="24" hidden="false" customHeight="true" outlineLevel="0" collapsed="false">
      <c r="A28" s="19" t="s">
        <v>39</v>
      </c>
      <c r="B28" s="19"/>
      <c r="C28" s="19"/>
      <c r="D28" s="19"/>
      <c r="E28" s="19"/>
      <c r="F28" s="19"/>
      <c r="G28" s="19"/>
      <c r="H28" s="19"/>
    </row>
    <row r="29" customFormat="false" ht="24" hidden="false" customHeight="true" outlineLevel="0" collapsed="false">
      <c r="A29" s="19" t="s">
        <v>40</v>
      </c>
      <c r="B29" s="19"/>
      <c r="C29" s="19"/>
      <c r="D29" s="19"/>
      <c r="E29" s="19"/>
      <c r="F29" s="19"/>
      <c r="G29" s="19"/>
      <c r="H29" s="19"/>
    </row>
    <row r="30" customFormat="false" ht="24" hidden="false" customHeight="true" outlineLevel="0" collapsed="false">
      <c r="A30" s="19" t="s">
        <v>41</v>
      </c>
      <c r="B30" s="19"/>
      <c r="C30" s="19"/>
      <c r="D30" s="19"/>
      <c r="E30" s="19"/>
      <c r="F30" s="19"/>
      <c r="G30" s="19"/>
      <c r="H30" s="19"/>
    </row>
    <row r="31" customFormat="false" ht="24" hidden="false" customHeight="true" outlineLevel="0" collapsed="false">
      <c r="A31" s="19" t="s">
        <v>42</v>
      </c>
      <c r="B31" s="19"/>
      <c r="C31" s="19"/>
      <c r="D31" s="19"/>
      <c r="E31" s="19"/>
      <c r="F31" s="19"/>
      <c r="G31" s="19"/>
      <c r="H31" s="19"/>
    </row>
    <row r="32" customFormat="false" ht="24" hidden="false" customHeight="true" outlineLevel="0" collapsed="false">
      <c r="A32" s="19" t="s">
        <v>43</v>
      </c>
      <c r="B32" s="19"/>
      <c r="C32" s="19"/>
      <c r="D32" s="19"/>
      <c r="E32" s="19"/>
      <c r="F32" s="19"/>
      <c r="G32" s="19"/>
      <c r="H32" s="19"/>
    </row>
    <row r="33" customFormat="false" ht="24" hidden="false" customHeight="true" outlineLevel="0" collapsed="false">
      <c r="A33" s="19" t="s">
        <v>44</v>
      </c>
      <c r="B33" s="19"/>
      <c r="C33" s="19"/>
      <c r="D33" s="19"/>
      <c r="E33" s="19"/>
      <c r="F33" s="19"/>
      <c r="G33" s="19"/>
      <c r="H33" s="19"/>
    </row>
    <row r="34" customFormat="false" ht="24" hidden="false" customHeight="true" outlineLevel="0" collapsed="false">
      <c r="A34" s="19" t="s">
        <v>45</v>
      </c>
      <c r="B34" s="19"/>
      <c r="C34" s="19"/>
      <c r="D34" s="19"/>
      <c r="E34" s="19"/>
      <c r="F34" s="19"/>
      <c r="G34" s="19"/>
      <c r="H34" s="19"/>
    </row>
    <row r="35" customFormat="false" ht="24" hidden="false" customHeight="true" outlineLevel="0" collapsed="false">
      <c r="A35" s="19" t="s">
        <v>46</v>
      </c>
      <c r="B35" s="19"/>
      <c r="C35" s="19"/>
      <c r="D35" s="19"/>
      <c r="E35" s="19"/>
      <c r="F35" s="19"/>
      <c r="G35" s="19"/>
      <c r="H35" s="19"/>
    </row>
    <row r="36" customFormat="false" ht="24" hidden="false" customHeight="true" outlineLevel="0" collapsed="false">
      <c r="A36" s="19" t="s">
        <v>47</v>
      </c>
      <c r="B36" s="19"/>
      <c r="C36" s="19"/>
      <c r="D36" s="19"/>
      <c r="E36" s="19"/>
      <c r="F36" s="19"/>
      <c r="G36" s="19"/>
      <c r="H36" s="19"/>
    </row>
    <row r="39" customFormat="false" ht="15" hidden="false" customHeight="false" outlineLevel="0" collapsed="false">
      <c r="E39" s="20" t="s">
        <v>48</v>
      </c>
      <c r="F39" s="20"/>
      <c r="G39" s="20"/>
      <c r="H39" s="20"/>
    </row>
    <row r="41" customFormat="false" ht="15" hidden="false" customHeight="false" outlineLevel="0" collapsed="false">
      <c r="E41" s="20" t="s">
        <v>49</v>
      </c>
      <c r="F41" s="20"/>
      <c r="G41" s="20"/>
      <c r="H41" s="20"/>
    </row>
    <row r="43" customFormat="false" ht="15" hidden="false" customHeight="false" outlineLevel="0" collapsed="false">
      <c r="E43" s="20" t="s">
        <v>50</v>
      </c>
      <c r="F43" s="20"/>
      <c r="G43" s="20"/>
      <c r="H43" s="20"/>
    </row>
    <row r="44" customFormat="false" ht="15" hidden="false" customHeight="false" outlineLevel="0" collapsed="false">
      <c r="E44" s="21" t="s">
        <v>51</v>
      </c>
      <c r="F44" s="21"/>
      <c r="G44" s="21"/>
      <c r="H44" s="21"/>
    </row>
  </sheetData>
  <mergeCells count="29">
    <mergeCell ref="A1:H1"/>
    <mergeCell ref="A2:H2"/>
    <mergeCell ref="A3:H3"/>
    <mergeCell ref="A4:H4"/>
    <mergeCell ref="A6:H6"/>
    <mergeCell ref="A20:H20"/>
    <mergeCell ref="A21:E21"/>
    <mergeCell ref="G21:H21"/>
    <mergeCell ref="A22:E22"/>
    <mergeCell ref="G22:H22"/>
    <mergeCell ref="A23:E23"/>
    <mergeCell ref="G23:H23"/>
    <mergeCell ref="A24:E24"/>
    <mergeCell ref="G24:H24"/>
    <mergeCell ref="A25:E25"/>
    <mergeCell ref="A27:H27"/>
    <mergeCell ref="A28:H28"/>
    <mergeCell ref="A29:H29"/>
    <mergeCell ref="A30:H30"/>
    <mergeCell ref="A31:H31"/>
    <mergeCell ref="A32:H32"/>
    <mergeCell ref="A33:H33"/>
    <mergeCell ref="A34:H34"/>
    <mergeCell ref="A35:H35"/>
    <mergeCell ref="A36:H36"/>
    <mergeCell ref="E39:H39"/>
    <mergeCell ref="E41:H41"/>
    <mergeCell ref="E43:H43"/>
    <mergeCell ref="E44:H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2026-09-16T21:52:54Z</dcterms:created>
  <dc:creator>openpyxl</dc:creator>
  <dc:description/>
  <dc:language>en-US</dc:language>
  <cp:lastModifiedBy/>
  <dcterms:modified xsi:type="dcterms:W3CDTF">2026-09-16T21:52:54Z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