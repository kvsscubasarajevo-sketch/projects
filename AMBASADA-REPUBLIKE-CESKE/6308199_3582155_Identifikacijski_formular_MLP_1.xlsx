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DAVOR_PRIVATE\Locker\PRIVATE\KVS_SCUBA\PROJECT\PROJECTS\AMBASADA-REPUBLIKE-CESKE\"/>
    </mc:Choice>
  </mc:AlternateContent>
  <xr:revisionPtr revIDLastSave="0" documentId="13_ncr:1_{0E3A735F-F8D7-45C9-9D01-B356E0468A89}" xr6:coauthVersionLast="47" xr6:coauthVersionMax="47" xr10:uidLastSave="{00000000-0000-0000-0000-000000000000}"/>
  <bookViews>
    <workbookView xWindow="-120" yWindow="-120" windowWidth="29040" windowHeight="15720" tabRatio="500" activeTab="2" xr2:uid="{00000000-000D-0000-FFFF-FFFF00000000}"/>
  </bookViews>
  <sheets>
    <sheet name="Identification Form" sheetId="1" r:id="rId1"/>
    <sheet name="Financial Report" sheetId="2" r:id="rId2"/>
    <sheet name="Final Report"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5" i="3" l="1"/>
  <c r="K57" i="3"/>
  <c r="F56" i="3"/>
  <c r="A56" i="3"/>
  <c r="F55" i="3"/>
  <c r="A55" i="3"/>
  <c r="F54" i="3"/>
  <c r="A54" i="3"/>
  <c r="F53" i="3"/>
  <c r="A53" i="3"/>
  <c r="L49" i="3"/>
  <c r="F35" i="3"/>
  <c r="D35" i="3"/>
  <c r="B35" i="3"/>
  <c r="H35" i="3" s="1"/>
  <c r="F34" i="3"/>
  <c r="D34" i="3"/>
  <c r="B34" i="3"/>
  <c r="H34" i="3" s="1"/>
  <c r="H33" i="3"/>
  <c r="F33" i="3"/>
  <c r="D33" i="3"/>
  <c r="B33" i="3"/>
  <c r="F32" i="3"/>
  <c r="D32" i="3"/>
  <c r="B32" i="3"/>
  <c r="H32" i="3" s="1"/>
  <c r="F31" i="3"/>
  <c r="D31" i="3"/>
  <c r="B31" i="3"/>
  <c r="H31" i="3" s="1"/>
  <c r="H30" i="3"/>
  <c r="F30" i="3"/>
  <c r="D30" i="3"/>
  <c r="B30" i="3"/>
  <c r="F29" i="3"/>
  <c r="D29" i="3"/>
  <c r="B29" i="3"/>
  <c r="H29" i="3" s="1"/>
  <c r="F28" i="3"/>
  <c r="D28" i="3"/>
  <c r="B28" i="3"/>
  <c r="H28" i="3" s="1"/>
  <c r="F27" i="3"/>
  <c r="D27" i="3"/>
  <c r="B27" i="3"/>
  <c r="H27" i="3" s="1"/>
  <c r="F26" i="3"/>
  <c r="D26" i="3"/>
  <c r="B26" i="3"/>
  <c r="H26" i="3" s="1"/>
  <c r="D22" i="3"/>
  <c r="H22" i="3" s="1"/>
  <c r="D21" i="3"/>
  <c r="H21" i="3" s="1"/>
  <c r="E17" i="3"/>
  <c r="E16" i="3"/>
  <c r="E15" i="3"/>
  <c r="G13" i="3"/>
  <c r="I5" i="3"/>
  <c r="C5" i="3"/>
  <c r="I4" i="3"/>
  <c r="C4" i="3"/>
  <c r="I3" i="3"/>
  <c r="C3" i="3"/>
  <c r="I63" i="2"/>
  <c r="H63" i="2"/>
  <c r="L62" i="2"/>
  <c r="E62" i="2"/>
  <c r="D62" i="2"/>
  <c r="B62" i="2"/>
  <c r="L61" i="2"/>
  <c r="E61" i="2"/>
  <c r="D61" i="2"/>
  <c r="B61" i="2"/>
  <c r="L60" i="2"/>
  <c r="E60" i="2"/>
  <c r="D60" i="2"/>
  <c r="B60" i="2"/>
  <c r="L59" i="2"/>
  <c r="E59" i="2"/>
  <c r="D59" i="2"/>
  <c r="B59" i="2"/>
  <c r="I57" i="2"/>
  <c r="H57" i="2"/>
  <c r="L56" i="2"/>
  <c r="E56" i="2"/>
  <c r="D56" i="2"/>
  <c r="B56" i="2"/>
  <c r="L55" i="2"/>
  <c r="E55" i="2"/>
  <c r="D55" i="2"/>
  <c r="B55" i="2"/>
  <c r="L54" i="2"/>
  <c r="E54" i="2"/>
  <c r="D54" i="2"/>
  <c r="B54" i="2"/>
  <c r="L53" i="2"/>
  <c r="F53" i="2"/>
  <c r="E53" i="2"/>
  <c r="D53" i="2"/>
  <c r="B53" i="2"/>
  <c r="I51" i="2"/>
  <c r="I64" i="2" s="1"/>
  <c r="F69" i="2" s="1"/>
  <c r="H51" i="2"/>
  <c r="H64" i="2" s="1"/>
  <c r="L50" i="2"/>
  <c r="E50" i="2"/>
  <c r="D50" i="2"/>
  <c r="B50" i="2"/>
  <c r="L49" i="2"/>
  <c r="E49" i="2"/>
  <c r="D49" i="2"/>
  <c r="B49" i="2"/>
  <c r="L48" i="2"/>
  <c r="E48" i="2"/>
  <c r="D48" i="2"/>
  <c r="B48" i="2"/>
  <c r="L47" i="2"/>
  <c r="E47" i="2"/>
  <c r="D47" i="2"/>
  <c r="B47" i="2"/>
  <c r="L46" i="2"/>
  <c r="E46" i="2"/>
  <c r="D46" i="2"/>
  <c r="B46" i="2"/>
  <c r="H43" i="2"/>
  <c r="H65" i="2" s="1"/>
  <c r="I42" i="2"/>
  <c r="H42" i="2"/>
  <c r="L41" i="2"/>
  <c r="E41" i="2"/>
  <c r="D41" i="2"/>
  <c r="B41" i="2"/>
  <c r="L40" i="2"/>
  <c r="E40" i="2"/>
  <c r="D40" i="2"/>
  <c r="B40" i="2"/>
  <c r="L39" i="2"/>
  <c r="E39" i="2"/>
  <c r="D39" i="2"/>
  <c r="B39" i="2"/>
  <c r="L38" i="2"/>
  <c r="E38" i="2"/>
  <c r="D38" i="2"/>
  <c r="B38" i="2"/>
  <c r="I36" i="2"/>
  <c r="H36" i="2"/>
  <c r="L35" i="2"/>
  <c r="E35" i="2"/>
  <c r="D35" i="2"/>
  <c r="B35" i="2"/>
  <c r="L34" i="2"/>
  <c r="E34" i="2"/>
  <c r="D34" i="2"/>
  <c r="B34" i="2"/>
  <c r="L33" i="2"/>
  <c r="E33" i="2"/>
  <c r="D33" i="2"/>
  <c r="B33" i="2"/>
  <c r="L32" i="2"/>
  <c r="E32" i="2"/>
  <c r="D32" i="2"/>
  <c r="B32" i="2"/>
  <c r="L31" i="2"/>
  <c r="E31" i="2"/>
  <c r="D31" i="2"/>
  <c r="B31" i="2"/>
  <c r="L30" i="2"/>
  <c r="E30" i="2"/>
  <c r="D30" i="2"/>
  <c r="B30" i="2"/>
  <c r="I28" i="2"/>
  <c r="H28" i="2"/>
  <c r="L27" i="2"/>
  <c r="E27" i="2"/>
  <c r="D27" i="2"/>
  <c r="B27" i="2"/>
  <c r="L26" i="2"/>
  <c r="E26" i="2"/>
  <c r="D26" i="2"/>
  <c r="B26" i="2"/>
  <c r="L25" i="2"/>
  <c r="E25" i="2"/>
  <c r="D25" i="2"/>
  <c r="B25" i="2"/>
  <c r="L24" i="2"/>
  <c r="F24" i="2"/>
  <c r="E24" i="2"/>
  <c r="D24" i="2"/>
  <c r="B24" i="2"/>
  <c r="L23" i="2"/>
  <c r="E23" i="2"/>
  <c r="D23" i="2"/>
  <c r="B23" i="2"/>
  <c r="L22" i="2"/>
  <c r="E22" i="2"/>
  <c r="D22" i="2"/>
  <c r="B22" i="2"/>
  <c r="I20" i="2"/>
  <c r="I43" i="2" s="1"/>
  <c r="I65" i="2" s="1"/>
  <c r="H20" i="2"/>
  <c r="L19" i="2"/>
  <c r="E19" i="2"/>
  <c r="D19" i="2"/>
  <c r="B19" i="2"/>
  <c r="L18" i="2"/>
  <c r="E18" i="2"/>
  <c r="D18" i="2"/>
  <c r="B18" i="2"/>
  <c r="L17" i="2"/>
  <c r="E17" i="2"/>
  <c r="D17" i="2"/>
  <c r="B17" i="2"/>
  <c r="L16" i="2"/>
  <c r="E16" i="2"/>
  <c r="D16" i="2"/>
  <c r="B16" i="2"/>
  <c r="L15" i="2"/>
  <c r="E15" i="2"/>
  <c r="D15" i="2"/>
  <c r="B15" i="2"/>
  <c r="L14" i="2"/>
  <c r="E14" i="2"/>
  <c r="D14" i="2"/>
  <c r="B14" i="2"/>
  <c r="L13" i="2"/>
  <c r="E13" i="2"/>
  <c r="D13" i="2"/>
  <c r="B13" i="2"/>
  <c r="L12" i="2"/>
  <c r="E12" i="2"/>
  <c r="D12" i="2"/>
  <c r="B12" i="2"/>
  <c r="L11" i="2"/>
  <c r="E11" i="2"/>
  <c r="D11" i="2"/>
  <c r="B11" i="2"/>
  <c r="L10" i="2"/>
  <c r="E10" i="2"/>
  <c r="D10" i="2"/>
  <c r="B10" i="2"/>
  <c r="L9" i="2"/>
  <c r="F9" i="2"/>
  <c r="E9" i="2"/>
  <c r="D9" i="2"/>
  <c r="B9" i="2"/>
  <c r="L8" i="2"/>
  <c r="E8" i="2"/>
  <c r="D8" i="2"/>
  <c r="B8" i="2"/>
  <c r="L7" i="2"/>
  <c r="E7" i="2"/>
  <c r="D7" i="2"/>
  <c r="B7" i="2"/>
  <c r="L6" i="2"/>
  <c r="E6" i="2"/>
  <c r="D6" i="2"/>
  <c r="B6" i="2"/>
  <c r="L184" i="1"/>
  <c r="H167" i="1"/>
  <c r="I167" i="1" s="1"/>
  <c r="H166" i="1"/>
  <c r="I166" i="1" s="1"/>
  <c r="I165" i="1"/>
  <c r="H165" i="1"/>
  <c r="I164" i="1"/>
  <c r="H164" i="1"/>
  <c r="H163" i="1"/>
  <c r="I163" i="1" s="1"/>
  <c r="H162" i="1"/>
  <c r="I162" i="1" s="1"/>
  <c r="H161" i="1"/>
  <c r="I161" i="1" s="1"/>
  <c r="H160" i="1"/>
  <c r="H168" i="1" s="1"/>
  <c r="J154" i="1"/>
  <c r="H154" i="1"/>
  <c r="F62" i="2" s="1"/>
  <c r="H153" i="1"/>
  <c r="J153" i="1" s="1"/>
  <c r="H152" i="1"/>
  <c r="F60" i="2" s="1"/>
  <c r="H151" i="1"/>
  <c r="I151" i="1" s="1"/>
  <c r="H148" i="1"/>
  <c r="J148" i="1" s="1"/>
  <c r="H147" i="1"/>
  <c r="F55" i="2" s="1"/>
  <c r="H146" i="1"/>
  <c r="F54" i="2" s="1"/>
  <c r="H145" i="1"/>
  <c r="I145" i="1" s="1"/>
  <c r="H143" i="1"/>
  <c r="H142" i="1"/>
  <c r="F50" i="2" s="1"/>
  <c r="H141" i="1"/>
  <c r="I141" i="1" s="1"/>
  <c r="J49" i="2" s="1"/>
  <c r="K49" i="2" s="1"/>
  <c r="J140" i="1"/>
  <c r="H140" i="1"/>
  <c r="I140" i="1" s="1"/>
  <c r="J48" i="2" s="1"/>
  <c r="K48" i="2" s="1"/>
  <c r="H139" i="1"/>
  <c r="F47" i="2" s="1"/>
  <c r="H138" i="1"/>
  <c r="F46" i="2" s="1"/>
  <c r="H133" i="1"/>
  <c r="J133" i="1" s="1"/>
  <c r="H132" i="1"/>
  <c r="F40" i="2" s="1"/>
  <c r="H131" i="1"/>
  <c r="I131" i="1" s="1"/>
  <c r="J39" i="2" s="1"/>
  <c r="K39" i="2" s="1"/>
  <c r="H130" i="1"/>
  <c r="F38" i="2" s="1"/>
  <c r="H128" i="1"/>
  <c r="H127" i="1"/>
  <c r="F35" i="2" s="1"/>
  <c r="H126" i="1"/>
  <c r="I126" i="1" s="1"/>
  <c r="J34" i="2" s="1"/>
  <c r="K34" i="2" s="1"/>
  <c r="J125" i="1"/>
  <c r="H125" i="1"/>
  <c r="I125" i="1" s="1"/>
  <c r="J33" i="2" s="1"/>
  <c r="K33" i="2" s="1"/>
  <c r="H124" i="1"/>
  <c r="F32" i="2" s="1"/>
  <c r="H123" i="1"/>
  <c r="F31" i="2" s="1"/>
  <c r="H122" i="1"/>
  <c r="I122" i="1" s="1"/>
  <c r="H119" i="1"/>
  <c r="J119" i="1" s="1"/>
  <c r="H118" i="1"/>
  <c r="J118" i="1" s="1"/>
  <c r="H117" i="1"/>
  <c r="I117" i="1" s="1"/>
  <c r="J25" i="2" s="1"/>
  <c r="K25" i="2" s="1"/>
  <c r="J116" i="1"/>
  <c r="H116" i="1"/>
  <c r="I116" i="1" s="1"/>
  <c r="J24" i="2" s="1"/>
  <c r="K24" i="2" s="1"/>
  <c r="H115" i="1"/>
  <c r="J115" i="1" s="1"/>
  <c r="H114" i="1"/>
  <c r="F22" i="2" s="1"/>
  <c r="J111" i="1"/>
  <c r="H111" i="1"/>
  <c r="I111" i="1" s="1"/>
  <c r="J19" i="2" s="1"/>
  <c r="K19" i="2" s="1"/>
  <c r="H110" i="1"/>
  <c r="J110" i="1" s="1"/>
  <c r="H109" i="1"/>
  <c r="F17" i="2" s="1"/>
  <c r="H108" i="1"/>
  <c r="I108" i="1" s="1"/>
  <c r="J16" i="2" s="1"/>
  <c r="K16" i="2" s="1"/>
  <c r="J107" i="1"/>
  <c r="H107" i="1"/>
  <c r="I107" i="1" s="1"/>
  <c r="J15" i="2" s="1"/>
  <c r="K15" i="2" s="1"/>
  <c r="H106" i="1"/>
  <c r="F14" i="2" s="1"/>
  <c r="H105" i="1"/>
  <c r="H104" i="1"/>
  <c r="I104" i="1" s="1"/>
  <c r="J12" i="2" s="1"/>
  <c r="K12" i="2" s="1"/>
  <c r="H103" i="1"/>
  <c r="F11" i="2" s="1"/>
  <c r="H102" i="1"/>
  <c r="H101" i="1"/>
  <c r="H100" i="1"/>
  <c r="I100" i="1" s="1"/>
  <c r="J8" i="2" s="1"/>
  <c r="K8" i="2" s="1"/>
  <c r="H99" i="1"/>
  <c r="I99" i="1" s="1"/>
  <c r="J7" i="2" s="1"/>
  <c r="K7" i="2" s="1"/>
  <c r="H98" i="1"/>
  <c r="L79" i="1"/>
  <c r="L77" i="1"/>
  <c r="L75" i="1"/>
  <c r="L53" i="1"/>
  <c r="L38" i="1"/>
  <c r="L32" i="1"/>
  <c r="J59" i="2" l="1"/>
  <c r="J30" i="2"/>
  <c r="J68" i="3"/>
  <c r="K51" i="2"/>
  <c r="H68" i="3"/>
  <c r="H64" i="3"/>
  <c r="J64" i="3" s="1"/>
  <c r="K57" i="2"/>
  <c r="H71" i="3"/>
  <c r="J71" i="3" s="1"/>
  <c r="H67" i="3"/>
  <c r="J67" i="3" s="1"/>
  <c r="H63" i="3"/>
  <c r="J63" i="3" s="1"/>
  <c r="K63" i="2"/>
  <c r="K43" i="2"/>
  <c r="K65" i="2"/>
  <c r="J70" i="3"/>
  <c r="H70" i="3"/>
  <c r="H66" i="3"/>
  <c r="J66" i="3" s="1"/>
  <c r="H62" i="3"/>
  <c r="J62" i="3" s="1"/>
  <c r="F71" i="2"/>
  <c r="K36" i="2"/>
  <c r="K28" i="2"/>
  <c r="K20" i="2"/>
  <c r="J69" i="3"/>
  <c r="J65" i="3"/>
  <c r="G10" i="3"/>
  <c r="H69" i="3"/>
  <c r="H65" i="3"/>
  <c r="I69" i="2"/>
  <c r="J72" i="3" s="1"/>
  <c r="K64" i="2"/>
  <c r="K42" i="2"/>
  <c r="G69" i="2"/>
  <c r="H72" i="3" s="1"/>
  <c r="G12" i="1"/>
  <c r="F74" i="2"/>
  <c r="G11" i="1"/>
  <c r="J53" i="2"/>
  <c r="J108" i="1"/>
  <c r="J117" i="1"/>
  <c r="J126" i="1"/>
  <c r="J141" i="1"/>
  <c r="J146" i="1"/>
  <c r="F6" i="2"/>
  <c r="F18" i="2"/>
  <c r="F26" i="2"/>
  <c r="F34" i="2"/>
  <c r="H112" i="1"/>
  <c r="F13" i="2"/>
  <c r="F48" i="2"/>
  <c r="F51" i="2" s="1"/>
  <c r="F56" i="2"/>
  <c r="F57" i="2" s="1"/>
  <c r="L57" i="2" s="1"/>
  <c r="I101" i="1"/>
  <c r="J9" i="2" s="1"/>
  <c r="K9" i="2" s="1"/>
  <c r="I105" i="1"/>
  <c r="J13" i="2" s="1"/>
  <c r="K13" i="2" s="1"/>
  <c r="I109" i="1"/>
  <c r="J17" i="2" s="1"/>
  <c r="K17" i="2" s="1"/>
  <c r="I114" i="1"/>
  <c r="I118" i="1"/>
  <c r="J26" i="2" s="1"/>
  <c r="K26" i="2" s="1"/>
  <c r="I123" i="1"/>
  <c r="J31" i="2" s="1"/>
  <c r="K31" i="2" s="1"/>
  <c r="I127" i="1"/>
  <c r="J35" i="2" s="1"/>
  <c r="K35" i="2" s="1"/>
  <c r="I132" i="1"/>
  <c r="J40" i="2" s="1"/>
  <c r="K40" i="2" s="1"/>
  <c r="I138" i="1"/>
  <c r="I142" i="1"/>
  <c r="J50" i="2" s="1"/>
  <c r="K50" i="2" s="1"/>
  <c r="I147" i="1"/>
  <c r="J55" i="2" s="1"/>
  <c r="K55" i="2" s="1"/>
  <c r="I152" i="1"/>
  <c r="J60" i="2" s="1"/>
  <c r="K60" i="2" s="1"/>
  <c r="F8" i="2"/>
  <c r="F59" i="2"/>
  <c r="J109" i="1"/>
  <c r="J114" i="1"/>
  <c r="J127" i="1"/>
  <c r="J142" i="1"/>
  <c r="J147" i="1"/>
  <c r="J152" i="1"/>
  <c r="F15" i="2"/>
  <c r="F23" i="2"/>
  <c r="F28" i="2" s="1"/>
  <c r="L28" i="2" s="1"/>
  <c r="F39" i="2"/>
  <c r="F42" i="2" s="1"/>
  <c r="L42" i="2" s="1"/>
  <c r="F61" i="2"/>
  <c r="I98" i="1"/>
  <c r="I102" i="1"/>
  <c r="J10" i="2" s="1"/>
  <c r="K10" i="2" s="1"/>
  <c r="I106" i="1"/>
  <c r="J14" i="2" s="1"/>
  <c r="K14" i="2" s="1"/>
  <c r="I110" i="1"/>
  <c r="J18" i="2" s="1"/>
  <c r="K18" i="2" s="1"/>
  <c r="I115" i="1"/>
  <c r="J23" i="2" s="1"/>
  <c r="K23" i="2" s="1"/>
  <c r="I119" i="1"/>
  <c r="J27" i="2" s="1"/>
  <c r="K27" i="2" s="1"/>
  <c r="I124" i="1"/>
  <c r="J32" i="2" s="1"/>
  <c r="K32" i="2" s="1"/>
  <c r="I133" i="1"/>
  <c r="J41" i="2" s="1"/>
  <c r="K41" i="2" s="1"/>
  <c r="I139" i="1"/>
  <c r="J47" i="2" s="1"/>
  <c r="K47" i="2" s="1"/>
  <c r="I148" i="1"/>
  <c r="J56" i="2" s="1"/>
  <c r="K56" i="2" s="1"/>
  <c r="I153" i="1"/>
  <c r="J61" i="2" s="1"/>
  <c r="K61" i="2" s="1"/>
  <c r="F25" i="2"/>
  <c r="F33" i="2"/>
  <c r="F41" i="2"/>
  <c r="F10" i="2"/>
  <c r="J106" i="1"/>
  <c r="H120" i="1"/>
  <c r="H149" i="1"/>
  <c r="H156" i="1" s="1"/>
  <c r="H170" i="1" s="1"/>
  <c r="F7" i="2"/>
  <c r="F19" i="2"/>
  <c r="F27" i="2"/>
  <c r="J124" i="1"/>
  <c r="J139" i="1"/>
  <c r="F12" i="2"/>
  <c r="H134" i="1"/>
  <c r="I103" i="1"/>
  <c r="J11" i="2" s="1"/>
  <c r="K11" i="2" s="1"/>
  <c r="I130" i="1"/>
  <c r="I154" i="1"/>
  <c r="J62" i="2" s="1"/>
  <c r="K62" i="2" s="1"/>
  <c r="I160" i="1"/>
  <c r="I168" i="1" s="1"/>
  <c r="F30" i="2"/>
  <c r="F36" i="2" s="1"/>
  <c r="L36" i="2" s="1"/>
  <c r="F49" i="2"/>
  <c r="H155" i="1"/>
  <c r="F16" i="2"/>
  <c r="I146" i="1"/>
  <c r="J54" i="2" s="1"/>
  <c r="K54" i="2" s="1"/>
  <c r="L51" i="2" l="1"/>
  <c r="I143" i="1"/>
  <c r="J46" i="2"/>
  <c r="H135" i="1"/>
  <c r="H157" i="1" s="1"/>
  <c r="I134" i="1"/>
  <c r="F65" i="3" s="1"/>
  <c r="J38" i="2"/>
  <c r="J57" i="2"/>
  <c r="K53" i="2"/>
  <c r="F20" i="2"/>
  <c r="I149" i="1"/>
  <c r="F68" i="3" s="1"/>
  <c r="J36" i="2"/>
  <c r="K30" i="2"/>
  <c r="I112" i="1"/>
  <c r="J6" i="2"/>
  <c r="I120" i="1"/>
  <c r="F63" i="3" s="1"/>
  <c r="J22" i="2"/>
  <c r="I128" i="1"/>
  <c r="F64" i="3" s="1"/>
  <c r="J63" i="2"/>
  <c r="K59" i="2"/>
  <c r="F63" i="2"/>
  <c r="L63" i="2" s="1"/>
  <c r="I155" i="1"/>
  <c r="F69" i="3" s="1"/>
  <c r="K38" i="2" l="1"/>
  <c r="J42" i="2"/>
  <c r="L20" i="2"/>
  <c r="F43" i="2"/>
  <c r="J51" i="2"/>
  <c r="J64" i="2" s="1"/>
  <c r="K46" i="2"/>
  <c r="J145" i="1"/>
  <c r="G15" i="1"/>
  <c r="G14" i="1"/>
  <c r="J157" i="1"/>
  <c r="J143" i="1"/>
  <c r="J128" i="1"/>
  <c r="K170" i="1"/>
  <c r="J170" i="1"/>
  <c r="J156" i="1"/>
  <c r="J130" i="1"/>
  <c r="J103" i="1"/>
  <c r="G7" i="1"/>
  <c r="J134" i="1"/>
  <c r="J99" i="1"/>
  <c r="J149" i="1"/>
  <c r="J155" i="1"/>
  <c r="J135" i="1"/>
  <c r="J112" i="1"/>
  <c r="J120" i="1"/>
  <c r="G16" i="1"/>
  <c r="J131" i="1"/>
  <c r="J98" i="1"/>
  <c r="J102" i="1"/>
  <c r="J101" i="1"/>
  <c r="J151" i="1"/>
  <c r="J123" i="1"/>
  <c r="J104" i="1"/>
  <c r="J132" i="1"/>
  <c r="J138" i="1"/>
  <c r="J100" i="1"/>
  <c r="J105" i="1"/>
  <c r="J122" i="1"/>
  <c r="F67" i="3"/>
  <c r="I156" i="1"/>
  <c r="K22" i="2"/>
  <c r="J28" i="2"/>
  <c r="I135" i="1"/>
  <c r="F62" i="3"/>
  <c r="J20" i="2"/>
  <c r="J43" i="2" s="1"/>
  <c r="J65" i="2" s="1"/>
  <c r="K6" i="2"/>
  <c r="F64" i="2"/>
  <c r="I157" i="1" l="1"/>
  <c r="F66" i="3"/>
  <c r="F70" i="3"/>
  <c r="I170" i="1"/>
  <c r="F65" i="2"/>
  <c r="F71" i="3" l="1"/>
  <c r="I172" i="1"/>
  <c r="I173" i="1" s="1"/>
  <c r="G8" i="1"/>
  <c r="F70" i="2"/>
  <c r="G11" i="3" s="1"/>
  <c r="G71" i="2"/>
  <c r="I71" i="2" s="1"/>
  <c r="L65" i="2" s="1"/>
  <c r="F67" i="2" l="1"/>
  <c r="G9" i="1"/>
  <c r="G9" i="3"/>
  <c r="K173" i="1"/>
  <c r="F68" i="2" l="1"/>
  <c r="G12" i="3" s="1"/>
  <c r="G68" i="2"/>
</calcChain>
</file>

<file path=xl/sharedStrings.xml><?xml version="1.0" encoding="utf-8"?>
<sst xmlns="http://schemas.openxmlformats.org/spreadsheetml/2006/main" count="447" uniqueCount="359">
  <si>
    <t>Small Scale Project Identification Form
Identifikační formulář malého lokálního projektu</t>
  </si>
  <si>
    <t>HOW TO FILL IN THIS FORM   |   Please fill in only the white cells. Shaded cells are calculated automatically or reserved for the Embassy and are locked. Do not delete rows or columns. Amounts are entered in local currency or EUR/USD; the Czech koruna (CZK) equivalent is calculated from the exchange rate set by the Embassy. The budget is divided into project costs (block A), which directly create the outputs of the project, and support costs (block B), which do not create an output but are necessary for the preparation, management or administration of the project. Support costs must not exceed 8 % of the total of the support from the Czech development cooperation funding**. Text fields have character limits shown on the right of each field; be concise and specific. Only this sheet is filled in when a project proposal is submitted. The Final Report and Financial Report sheets are completed after an approved project has been implemented — leave them empty when submitting a proposal.
JAK FORMULÁŘ VYPLNIT   |   Bílé buňky vyplňuje žadatel. Šedé buňky se počítají automaticky nebo jsou vyhrazeny velvyslanectví a jsou zamčené. Nemažte řádky ani sloupce. Částky se zadávají v místní měně nebo v EUR/USD; ekvivalent v českých korunách (Kč) se počítá z kurzu stanoveného velvyslanectvím. Rozpočet se dělí na projektové náklady (blok A), které přímo vytvářejí výstupy projektu, a podpůrné náklady (blok B), které výstup nevytvářejí, ale jsou nutné pro přípravu, řízení nebo administraci projektu. Podpůrné náklady nesmí přesáhnout 8 % celkové částky z finanční podpory České republiky. U textových polí je vpravo uveden limit počtu znaků; pište stručně a konkrétně. Při podání námětu se vyplňuje pouze tento list. Listy Závěrečná zpráva (Final Report) a Finanční zpráva (Financial Report) se vyplňují až po realizaci schváleného projektu — při podání námětu je ponechte prázdné.</t>
  </si>
  <si>
    <t>Project Title (short yet clear)
Název projektu (stručně)</t>
  </si>
  <si>
    <t>Safe Waters – Youth Water Rescue Training and Response Unit</t>
  </si>
  <si>
    <t>Project Number (assigned by Embassy)
Číslo projektu (přiděluje velvyslanectví)</t>
  </si>
  <si>
    <t>Country
Země</t>
  </si>
  <si>
    <t>Bosnia and Herzegovina</t>
  </si>
  <si>
    <t>Project Location (village / district — be specific)
Místo realizace (obec / okres — buďte konkrétní)</t>
  </si>
  <si>
    <t>Sarajevo (club headquarters); Jablaničko Lake (rescue boat base) and Boračko Lake, Konjic Municipality, Herzegovina-Neretva Canton</t>
  </si>
  <si>
    <t>Beginning of Project (month / year)
Zahájení projektu (měsíc / rok)</t>
  </si>
  <si>
    <t>April 2027</t>
  </si>
  <si>
    <t>Termination of Project (month / year)
Ukončení projektu (měsíc / rok)</t>
  </si>
  <si>
    <t>October 2027</t>
  </si>
  <si>
    <t>1. Requested Funding from the Czech Republic Official Development Assistance   (calculated automatically from section 10)
1. Požadovaná částka ze zahraniční rozvojové spolupráce České republiky   (počítá se automaticky z bodu 10)</t>
  </si>
  <si>
    <t>In Local Currency
V místní měně</t>
  </si>
  <si>
    <t>In CZK (according to Czech Embassy Exchange Rate)
V Kč (podle kurzu stanoveného velvyslanectvím ČR)</t>
  </si>
  <si>
    <t>In CZK including exchange rate reserve — amount to be stated in the contract
V Kč včetně kurzové rezervy — částka, která se uvede ve smlouvě</t>
  </si>
  <si>
    <t>2. Additional Funding from Other Sources (if applicable)   (calculated automatically from section 10)
2. Další zdroje financování (pokud existují)   (počítá se automaticky z bodu 10)</t>
  </si>
  <si>
    <t>3. Total Project Budget
3. Celkový rozpočet projektu</t>
  </si>
  <si>
    <t>Share of co-financing in the total project budget
Podíl spolufinancování na celkovém rozpočtu projektu</t>
  </si>
  <si>
    <t>4. Applicant
4. Žadatel</t>
  </si>
  <si>
    <t>Name of Organization
Název organizace</t>
  </si>
  <si>
    <t>Klub vodenih sportova „S.C.U.B.A.“ Sarajevo (KVS SCUBA)</t>
  </si>
  <si>
    <t>Telephone Number
Telefonní číslo</t>
  </si>
  <si>
    <t>+387 62 332 082</t>
  </si>
  <si>
    <t>Email Address
E-mailová adresa</t>
  </si>
  <si>
    <t>kvsscuba@gmail.com</t>
  </si>
  <si>
    <t>Website
Webové stránky</t>
  </si>
  <si>
    <t>www.scubasarajevo.com</t>
  </si>
  <si>
    <t>Document proving legal personality attached
Přiložen doklad o právní subjektivitě</t>
  </si>
  <si>
    <t>Yes / Ano</t>
  </si>
  <si>
    <t>Non-state applicants must attach the aforementioned documents along with this form.
Nestátní žadatelé musí spolu s tímto formulářem přiložit výše uvedené doklady.</t>
  </si>
  <si>
    <t>Document proving authority to act attached
Přiložen doklad o oprávnění jednat za organizaci</t>
  </si>
  <si>
    <t>5. Local Priority Targeted by the Project and Target Group
5. Místní priorita a cílová skupina</t>
  </si>
  <si>
    <t>5.1  Target group
5.1  Cílová skupina</t>
  </si>
  <si>
    <t>Be as specific as possible. Direct beneficiaries are people who use the project outputs themselves.
Uveďte co nejkonkrétnější údaje. Přímí příjemci jsou lidé, kteří sami využívají výstupy projektu.</t>
  </si>
  <si>
    <t>Beneficiaries
Příjemci</t>
  </si>
  <si>
    <t>Number of persons
Počet osob</t>
  </si>
  <si>
    <t>Who they are (age, gender, role — e.g. 120 pupils aged 6–14, 8 teachers)
O koho jde (věk, pohlaví, role — např. 120 žáků ve věku 6–14 let, 8 učitelů)</t>
  </si>
  <si>
    <t>Direct beneficiaries
Přímí příjemci</t>
  </si>
  <si>
    <t>15 young divers aged 16–25, members of KVS SCUBA (priority access for socially vulnerable youth), trained and certified as water-rescue divers; 4 senior members (two diving pairs) additionally equipped with dry suits as duty leads</t>
  </si>
  <si>
    <t>Indirect beneficiaries
Nepřímí příjemci</t>
  </si>
  <si>
    <t>Estimated visitors, tourists and local residents at Jablaničko Lake and Boračko Lake (Konjic Municipality) during the 2027 summer season, who benefit from a volunteer water-rescue presence and public safety outreach (estimate)</t>
  </si>
  <si>
    <t>5.2  Local priority addressed by the project
5.2  Místní priorita adresovaná projektem</t>
  </si>
  <si>
    <t>Describe the local priority as it affects the target group identified in 5.1. Use data for the specific location of the intervention.
Popište místní prioritu tak, jak se dotýká cílové skupiny uvedené v bodě 5.1. Použijte údaje o konkrétním místě realizace.</t>
  </si>
  <si>
    <t>Jablaničko Lake and Boračko Lake, near Konjic, are popular inland recreation sites for swimmers, divers, campers and tourists in summer. To the Club's knowledge, neither lake has a permanent lifeguard or organised water-rescue service. The floods of October 2024, which killed at least 25 people in Bosnia and Herzegovina, the large majority in the Jablanica and Konjic area, showed how limited local water-rescue capacity is. KVS SCUBA regularly organises open-water training on both lakes and its divers are often the nearest people with relevant skills when incidents occur, but the Club has no formal rescue training, rescue boat or lifesaving equipment to respond safely and effectively. Visitors and families therefore use these lakes without organised safety coverage.</t>
  </si>
  <si>
    <t>5.3  Identification
5.3  Identifikace</t>
  </si>
  <si>
    <t>State how the local priority was identified. Select the closest option and explain briefly who requested the project, when, and on what basis.
Uveďte, jak byla místní priorita identifikována. Vyberte nejbližší možnost a stručně vysvětlete, kdo o projekt požádal, kdy a na jakém základě.</t>
  </si>
  <si>
    <t>How was the local priority identified?
Jak byla místní priorita identifikována?</t>
  </si>
  <si>
    <t>Local priority assessment / analýza místních priorit</t>
  </si>
  <si>
    <t>Identified by KVS SCUBA through its own experience organising diving activities and open-water training on Jablaničko and Boračko Lake, and reinforced by the October 2024 floods in the same area, which highlighted the lack of organised local water-rescue capacity.</t>
  </si>
  <si>
    <t>5.4  Proposed solution
5.4  Navrhované řešení</t>
  </si>
  <si>
    <t>Describe the proposed solution and explain why this solution rather than another. State what will change for the target group.
Popište navrhované řešení a vysvětlete, proč právě toto řešení, a ne jiné. Uveďte, co se pro cílovou skupinu změní.</t>
  </si>
  <si>
    <t>KVS SCUBA will establish a volunteer Water Rescue Unit. A core team of club divers will complete the SSI React Right (first aid, CPR, AED, oxygen) and Diver Stress &amp; Rescue courses and will be equipped with a new zero-emission electric-powered inflatable boat for 4–6 divers, four dry suits (two diving pairs), an AED, oxygen first-aid and rescue equipment. In summer 2027 the unit will provide scheduled volunteer safety presence at Jablaničko Lake and Boračko Lake, plus a water-safety awareness campaign for local schools and communities. This replaces today's ad-hoc help by individual divers with an organised, equipped and repeatable rescue capacity. The unit will also make its capacities available to the local Civil Protection service in emergencies.</t>
  </si>
  <si>
    <t>6. Linkage to Other Activities
6. Návaznost na další aktivity</t>
  </si>
  <si>
    <t>Mark Yes or No for every line. If Yes, specify in the right-hand column. If the project has no linkage, mark No — this is not a disqualifying answer.
U každého řádku označte Ano, nebo Ne. Pokud ano, upřesněte v pravém sloupci. Pokud projekt na nic nenavazuje, označte Ne — tato odpověď není důvodem k vyřazení.</t>
  </si>
  <si>
    <t>6.1  Type of linkage
6.1  Typ návaznosti</t>
  </si>
  <si>
    <t>Area of linkage
Oblast návaznosti</t>
  </si>
  <si>
    <t>Yes / No
Ano / Ne</t>
  </si>
  <si>
    <t>If Yes, specify
Pokud ano, upřesněte</t>
  </si>
  <si>
    <t>Czech development or humanitarian activities in the country (state the project or programme)
České rozvojové nebo humanitární aktivity v zemi (uveďte projekt nebo program)</t>
  </si>
  <si>
    <t>No / Ne</t>
  </si>
  <si>
    <t>Previous Small Scale Project supported by this Embassy (state year and title)
Předchozí malý lokální projekt podpořený tímto velvyslanectvím (uveďte rok a název)</t>
  </si>
  <si>
    <t>Activities of other donors or a programme of the partner country
Aktivity jiných dárců nebo program partnerské země</t>
  </si>
  <si>
    <t>Club applied in 2026 to JP BH POŠTA d.o.o. Sarajevo for support of its youth diver training programme “Ronioci sutrašnjice” (decision pending). No overlap with this project: that programme funds training and certification of young divers, not rescue boat or rescue equipment.</t>
  </si>
  <si>
    <t>Czech economic presence, Czech suppliers or Czech technology
Česká ekonomická přítomnost, čeští dodavatelé nebo české technologie</t>
  </si>
  <si>
    <t>Czech compatriot community or teaching of the Czech language
Česká krajanská komunita nebo výuka českého jazyka</t>
  </si>
  <si>
    <t>Follow-up planned by the applicant after this project ends
Navazující aktivity plánované žadatelem po skončení tohoto projektu</t>
  </si>
  <si>
    <t>Permanent continuation of the volunteer water-rescue unit, operating every summer season from 2027 onward, funded through club membership fees and local sponsorship</t>
  </si>
  <si>
    <t>Other comments or notes on linkages (optional)
Další poznámky k návaznostem (nepovinné)</t>
  </si>
  <si>
    <t>The Club welcomes the opportunity to establish cooperation with Czech water-rescue or diving organisations (e.g. the Czech Red Cross Water Rescue Service) to exchange know-how during project implementation. The unit's availability to local Civil Protection is part of the project (see Activities)</t>
  </si>
  <si>
    <t>6.2  Relation to a Previously Supported Small Scale Project
6.2  Vztah k dříve podpořenému malému lokálnímu projektu</t>
  </si>
  <si>
    <t>Does this proposal coincide with a previously supported Small Scale Project in its subject, its implementer and its place of implementation at the same time?
Shoduje se tento námět s dříve podpořeným malým lokálním projektem zároveň v předmětu, v realizátorovi i v místě realizace?</t>
  </si>
  <si>
    <t>If Yes, state whether the project extends or scales up the original intervention, replicates it for another target group, or constitutes a follow-up phase with different outputs.
Pokud ano, uveďte, zda projekt původní intervenci rozšiřuje, opakuje ji pro jinou cílovou skupinu, nebo jde o navazující fázi s jinými výstupy.</t>
  </si>
  <si>
    <t>N/A — new initiative, not a continuation of a specific previously supported project.</t>
  </si>
  <si>
    <t>7. Project Activities, Outputs and Indicators
7. Aktivity, výstupy a indikátory projektu</t>
  </si>
  <si>
    <t>List activities as numbered items. Every activity must produce an output that can be verified. An indicator is a number the Embassy can verify at the end of the project on site, by video call, from photographs or from documentation.
Aktivity uveďte jako číslované položky. Každá aktivita musí mít ověřitelný výstup. Indikátor je číslo, které velvyslanectví může na konci projektu ověřit na místě, videohovorem, z fotografií nebo z dokumentace.</t>
  </si>
  <si>
    <t>No.
Č.</t>
  </si>
  <si>
    <t>Activity
Aktivita</t>
  </si>
  <si>
    <t>Output (what will be created)
Výstup (co vznikne)</t>
  </si>
  <si>
    <t>Indicator
Indikátor</t>
  </si>
  <si>
    <t>Target value
Cílová hodnota</t>
  </si>
  <si>
    <t>Means of verification
Způsob ověření</t>
  </si>
  <si>
    <t>Month of implementation
Měsíc realizace</t>
  </si>
  <si>
    <t>e.g. /
např.</t>
  </si>
  <si>
    <t>Delivery and installation of two 3D printers for the school workshop /
Dodávka a instalace dvou 3D tiskáren do školní dílny</t>
  </si>
  <si>
    <t>Two 3D printers installed and put into operation /
Dvě 3D tiskárny instalované a uvedené do provozu</t>
  </si>
  <si>
    <t>Number of 3D printers installed and handed over /
Počet instalovaných a předaných 3D tiskáren</t>
  </si>
  <si>
    <t>2</t>
  </si>
  <si>
    <t>Handover protocol, invoice, photographs /
Předávací protokol, faktura, fotografie</t>
  </si>
  <si>
    <t>Months 2–3 /
2.–3. měsíc</t>
  </si>
  <si>
    <t>EXAMPLE ROW ABOVE / VÝŠE UVEDENÝ ŘÁDEK JE PŘÍKLAD</t>
  </si>
  <si>
    <t>Procurement of new electric-powered inflatable boat, electric outboard motor, registration and insurance</t>
  </si>
  <si>
    <t>Zero-emission rescue/dive boat operational and registered</t>
  </si>
  <si>
    <t>Number of boats procured and registered</t>
  </si>
  <si>
    <t>Purchase invoice, registration documents, photographs</t>
  </si>
  <si>
    <t>Months 1–2</t>
  </si>
  <si>
    <t>Procurement of dry suits with undergarments, rescue set (buoys, line, oxygen kit), AED and VHF radios</t>
  </si>
  <si>
    <t>Core rescue equipment available and in use</t>
  </si>
  <si>
    <t>Number of dry suits / rescue sets / AEDs / radios procured</t>
  </si>
  <si>
    <t>4 / 1 / 1 / 2</t>
  </si>
  <si>
    <t>Invoices, equipment inventory list, photographs</t>
  </si>
  <si>
    <t>Adaptation of existing space for secure equipment storage and maintenance; servicing of club compressor, cylinders and regulators (Club-funded)</t>
  </si>
  <si>
    <t>Storage space and training equipment ready for use</t>
  </si>
  <si>
    <t>Storage adapted and equipment serviced (yes/no)</t>
  </si>
  <si>
    <t>Photographs, service records</t>
  </si>
  <si>
    <t>SSI Diver Stress &amp; Rescue course for the same 15 participants</t>
  </si>
  <si>
    <t>Certified rescue divers</t>
  </si>
  <si>
    <t>Number of participants certified</t>
  </si>
  <si>
    <t>Certification cards, course attendance list</t>
  </si>
  <si>
    <t>Months 3–4</t>
  </si>
  <si>
    <t>SSI React Right course (first aid, CPR, AED, oxygen) for 15 club divers</t>
  </si>
  <si>
    <t>First-aid certified volunteers</t>
  </si>
  <si>
    <t>Certificates, attendance list</t>
  </si>
  <si>
    <t>Months 2–3</t>
  </si>
  <si>
    <t>Volunteer duty roster at Jablaničko Lake and Boračko Lake (boat and divers)</t>
  </si>
  <si>
    <t>Water-rescue unit present on site</t>
  </si>
  <si>
    <t>Number of duty days covered</t>
  </si>
  <si>
    <t>Duty logbook, photographs</t>
  </si>
  <si>
    <t>Months 3–6</t>
  </si>
  <si>
    <t>Water-safety awareness sessions for local schools and communities</t>
  </si>
  <si>
    <t>Awareness sessions held, materials distributed</t>
  </si>
  <si>
    <t>Number of people reached</t>
  </si>
  <si>
    <t>Attendance sheets, photographs, materials</t>
  </si>
  <si>
    <t>Public handover and launch event with the Embassy</t>
  </si>
  <si>
    <t>Public event held</t>
  </si>
  <si>
    <t>Event held (yes/no)</t>
  </si>
  <si>
    <t>Photographs, media coverage, guest list</t>
  </si>
  <si>
    <t>Month 3</t>
  </si>
  <si>
    <t>Agreement with the local Civil Protection service on availability of the unit's boat, divers and equipment in emergencies</t>
  </si>
  <si>
    <t>Cooperation arrangement with Civil Protection in place</t>
  </si>
  <si>
    <t>Written agreement or protocol signed (yes/no)</t>
  </si>
  <si>
    <t>Signed agreement/protocol or confirmation letter</t>
  </si>
  <si>
    <t>8. Sustainability and Ownership of the Outputs
8. Udržitelnost a vlastnictví výstupů</t>
  </si>
  <si>
    <t>Sections 8.1 to 8.6 concern the situation after the project has ended and the Czech funding has stopped. Fill in relevant/applicable cells.
Body 8.1 až 8.6 se týkají situace po skončení projektu a po ukončení českého financování. Vyplňte relevantní buňky.</t>
  </si>
  <si>
    <t>8.1  Who will own the outputs after the project ends? (name of the entity)
8.1  Kdo bude výstupy po skončení projektu vlastnit? (název subjektu)</t>
  </si>
  <si>
    <t>KVS SCUBA (registered diving association, Sarajevo)</t>
  </si>
  <si>
    <t>8.2  Who will operate and maintain the outputs? (name of the entity / responsible person)
8.2  Kdo bude výstupy provozovat a udržovat? (název subjektu / odpovědná osoba)</t>
  </si>
  <si>
    <t>KVS SCUBA technical team and Water Rescue Unit duty leads</t>
  </si>
  <si>
    <t>8.3  Estimated annual running and maintenance costs
8.3  Odhadované roční provozní a udržovací náklady</t>
  </si>
  <si>
    <t>Covered from (source)
Hrazeno z (zdroj)</t>
  </si>
  <si>
    <t>Club membership fees and local sponsorship</t>
  </si>
  <si>
    <t>8.4  Describe how the benefits for the target group will continue after the project ends.
8.4  Popište, jak budou přínosy pro cílovou skupinu pokračovat po skončení projektu.</t>
  </si>
  <si>
    <t>The boat, dry suits, AED and rescue equipment remain the property of KVS SCUBA and will be used every season from 2027 onward. The trained, certified volunteer divers continue as active club members, renewing their skills through the club's regular training programme. The duty roster at Jablaničko Lake and Boračko Lake will be repeated each summer season, funded through membership fees, local sponsorship and, where available, municipal or tourism-board support, ensuring the water-rescue presence continues after Czech funding ends.</t>
  </si>
  <si>
    <t>8.5  Describe how the target group (and the partner institution if applicable) were involved in the identification of the local priority, in the design of the project and in its implementation, and how they will take part in the operation of the outputs.
8.5  Popište, jak byly cílová skupina (a partnerská instituce pokud je zapojena) zapojena do identifikace místní priority, do přípravy projektu a do jeho realizace a jak se budou podílet na provozu výstupů.</t>
  </si>
  <si>
    <t>The target group - KVS SCUBA's own young divers - identified the need for rescue training through their direct experience organising dives and events at Jablaničko Lake and Boračko Lake. Club members and instructors defined the training programme and equipment list together with the Club's governing board. Trainees participate in every stage: equipment testing and fitting, the certification courses themselves, and subsequently as volunteer duty-roster members operating and maintaining the boat and equipment throughout the project and beyond.</t>
  </si>
  <si>
    <t>8.6  State the main risks to the implementation of the project and how they will be addressed.
8.6  Uveďte hlavní rizika realizace projektu a způsob, jakým budou řešena.</t>
  </si>
  <si>
    <t>Key risks: (1) boat/equipment damage or theft – secure storage and insurance; (2) volunteer availability – rotating roster of 15 trained divers; (3) permits and operator licences for the boat and VHF radios – obtained before procurement is completed; (4) price increases – 3% exchange-rate reserve and cautious budget; (5) limited speed and range of electric propulsion – spare charging plan, coordination with Civil Protection for fast response; (6) weather limiting duty days – flexible scheduling.</t>
  </si>
  <si>
    <t>9. Visibility of Czech Assistance
9. Viditelnost české pomoci</t>
  </si>
  <si>
    <t>The material outputs of the project must be marked with the logo of the Ministry of Foreign Affairs of the Czech Republic (MFA CZ logo) or the CzechAid logo, both provided by Embassy upon request; for intangible outputs the support from the Czech Republic must always be stated, both when the outputs are presented and in the materials arising from them. The applicant is required to provide photographs of the marked outputs with the final report.
Hmotné výstupy projektu musí být označeny logem Ministerstva zahraničních věcí České republiky (logo MZV ČR) nebo logem CzechAid; obě loga poskytne velvyslanectví na vyžádání. U nehmotných výstupů musí být podpora České republiky vždy uvedena, a to jak při jejich prezentaci, tak v materiálech, které z nich vycházejí. Žadatel je povinen předložit se závěrečnou zprávou fotografie označených výstupů.</t>
  </si>
  <si>
    <t>9.1  How will the outputs be marked with the MFA CZ logo/CzechAid logo? (plaque, sticker on equipment, banner, printed materials)
9.1  Jak budou výstupy označeny logem MZV ČR / CzechAid? (pamětní deska, samolepka na vybavení, banner, tištěné materiály)</t>
  </si>
  <si>
    <t>Czech Development Cooperation logo (per Embassy visibility rules) on the rescue boat, an information plaque at the equipment storage site, dry suits and equipment bags, banners at training sessions and the handover event, and all printed materials with an acknowledgement text.</t>
  </si>
  <si>
    <t>9.2  Who will become aware of the Czech assistance through this project?
9.2  Kdo se o české pomoci prostřednictvím tohoto projektu dozví?</t>
  </si>
  <si>
    <t>Audience
Publikum</t>
  </si>
  <si>
    <t>Estimated number of people
Odhadovaný počet osob</t>
  </si>
  <si>
    <t>Note (name of the community, institution, medium)
Poznámka (název komunity, instituce, média)</t>
  </si>
  <si>
    <t>Local community where the project takes place
Místní komunita v místě realizace projektu</t>
  </si>
  <si>
    <t>Visitors and residents at Jablaničko Lake / Boračko Lake, Konjic Municipality</t>
  </si>
  <si>
    <t>Staff and users of the partner institution
Zaměstnanci a uživatelé partnerské instituce</t>
  </si>
  <si>
    <t>Local or regional media
Místní nebo regionální média</t>
  </si>
  <si>
    <t>Expected reach via local Sarajevo/Konjic media outlets and the Club's social media channels (estimate)</t>
  </si>
  <si>
    <t>Participants of a public event (handover, opening)
Účastníci veřejné akce (předání, slavnostní otevření)</t>
  </si>
  <si>
    <t>Local community members, club members, local authorities and media invited to the season-opening/handover event</t>
  </si>
  <si>
    <t>9.3  Handover or opening event with the participation of the Embassy is planned
9.3  Je plánováno předání nebo slavnostní otevření za účasti velvyslanectví</t>
  </si>
  <si>
    <t>Expected month
Předpokládaný měsíc</t>
  </si>
  <si>
    <t>June 2027</t>
  </si>
  <si>
    <t>9.4  The applicant undertakes to provide at least this number of photographs of the marked outputs with the final report
9.4  Žadatel se zavazuje předložit se závěrečnou zprávou alespoň tento počet fotografií označených výstupů</t>
  </si>
  <si>
    <t>The photographs must not allow individual persons to be identified unless the applicant holds a valid legal basis for taking the photographs, handing them over to the Embassy and their use for the presentation of Czech development cooperation.
Fotografie nesmí umožnit identifikaci jednotlivých osob, ledaže žadatel má platný právní titul k jejich pořízení, k jejich předání velvyslanectví a k jejich užití pro prezentaci české rozvojové spolupráce.</t>
  </si>
  <si>
    <t>10. Budget Proposal***
10. Návrh rozpočtu</t>
  </si>
  <si>
    <t>Currency used (code)
Použitá měna (kód)</t>
  </si>
  <si>
    <t>BAM</t>
  </si>
  <si>
    <t>Exchange rate: units of local currency per 1 CZK (set by the Embassy)
Kurz: jednotek místní měny za 1 Kč (stanoví velvyslanectví)</t>
  </si>
  <si>
    <t>Date of rate
Datum kurzu</t>
  </si>
  <si>
    <t>12.10.2026</t>
  </si>
  <si>
    <t>Enter amounts in local currency only. The CZK column is calculated from the exchange rate above. Block A covers costs that directly create an output of the project. Block B covers costs that do not create an output but are necessary for the preparation, management or administration of the project; the total of block B must not exceed 8 % of the grand total. Overhead costs of the implementing organization cannot be paid from the project budget.
Částky uvádějte pouze v místní měně. Sloupec v Kč se počítá z výše uvedeného kurzu. Blok A zahrnuje náklady, které přímo vytvářejí výstup projektu. Blok B zahrnuje náklady, které výstup nevytvářejí, ale jsou nutné pro přípravu, řízení nebo administraci projektu; součet bloku B nesmí přesáhnout 8 % celkové částky. Režijní náklady realizující organizace nelze z rozpočtu projektu hradit.</t>
  </si>
  <si>
    <t>Type of Costs
Druh nákladů</t>
  </si>
  <si>
    <t>Unit
Jednotka</t>
  </si>
  <si>
    <t>Number of Units
Počet jednotek</t>
  </si>
  <si>
    <t>Unit Price
Cena za jednotku</t>
  </si>
  <si>
    <t>Total (local)
Celkem (místní měna)</t>
  </si>
  <si>
    <t>Total (CZK)
Celkem (Kč)</t>
  </si>
  <si>
    <t>% of total
% z celku</t>
  </si>
  <si>
    <t>Note (optional)
Poznámka (nepovinné)</t>
  </si>
  <si>
    <t>A.  PROJECT COSTS   —   costs that directly create an output of the project
A.  PROJEKTOVÉ NÁKLADY   —   náklady, které přímo vytvářejí výstup projektu</t>
  </si>
  <si>
    <t>A.1  Material, Goods and Equipment, including their transport and installation
A.1  Materiál, zboží a vybavení včetně jejich dopravy a instalace</t>
  </si>
  <si>
    <t>New inflatable boat with aluminium floor (approx. 3.5 m, capacity 4–6 divers)</t>
  </si>
  <si>
    <t>pcs</t>
  </si>
  <si>
    <t>Electric outboard motor (approx. 3 hp equivalent, integrated lithium battery) – zero-emission propulsion</t>
  </si>
  <si>
    <t>Boat registration, technical inspection and first-year insurance policy</t>
  </si>
  <si>
    <t>lump sum</t>
  </si>
  <si>
    <t>Professional neoprene dry suits for rescue divers (two diving pairs)</t>
  </si>
  <si>
    <t>Thermal undergarments for dry suits</t>
  </si>
  <si>
    <t>Water-rescue set: rescue buoys, floating rescue line, first-aid kit with oxygen</t>
  </si>
  <si>
    <t>set</t>
  </si>
  <si>
    <t>Automated external defibrillator (AED) with carry case and spare pads</t>
  </si>
  <si>
    <t>Handheld waterproof VHF marine radios (the Club already owns 4 units)</t>
  </si>
  <si>
    <t>Subtotal — Material, Goods and Equipment, including their transport and installation
Mezisoučet — Materiál, zboží a vybavení včetně jejich dopravy a instalace</t>
  </si>
  <si>
    <t>A.2  Construction and Craft Works
A.2  Stavební a řemeslné práce</t>
  </si>
  <si>
    <t>Subtotal — Construction and Craft Works
Mezisoučet — Stavební a řemeslné práce</t>
  </si>
  <si>
    <t>A.3  Fees, Per Diems and Other Costs of Lecturers, Trainers, Experts and Other Persons Whose Work Is Itself an Output of the Project
A.3  Odměny lektorů, školitelů, expertů a dalších osob, jejichž práce je sama výstupem projektu</t>
  </si>
  <si>
    <t>Lead instructor fee — SSI Diver Stress &amp; Rescue course</t>
  </si>
  <si>
    <t>course</t>
  </si>
  <si>
    <t>Instructor fee — SSI React Right (first aid, CPR, AED, oxygen) course</t>
  </si>
  <si>
    <t>Subtotal — Fees of Lecturers, Trainers, Experts and Other Persons Whose Work Is Itself an Output of the Project
Mezisoučet — Odměny lektorů, školitelů, expertů a dalších osob, jejichž práce je sama výstupem projektu</t>
  </si>
  <si>
    <t>A.4  Costs of the Participants of Training Provided by the Project
A.4  Náklady účastníků školení poskytovaného projektem</t>
  </si>
  <si>
    <t>SSI Diver Stress &amp; Rescue student kit and certification</t>
  </si>
  <si>
    <t>participant</t>
  </si>
  <si>
    <t>SSI React Right student kit and certification</t>
  </si>
  <si>
    <t>Open-water training logistics (tank fills, site access)</t>
  </si>
  <si>
    <t>day</t>
  </si>
  <si>
    <t>Subtotal — Costs of the Participants of Training Provided by the Project
Mezisoučet — Náklady účastníků školení poskytovaného projektem</t>
  </si>
  <si>
    <t>SUBTOTAL A — PROJECT COSTS
MEZISOUČET A — PROJEKTOVÉ NÁKLADY</t>
  </si>
  <si>
    <t>B.  SUPPORT COSTS *  —   costs necessary for the preparation, management or administration of the project (limit 8 % of the grand total)
B.  PODPŮRNÉ NÁKLADY   —   náklady nutné pro přípravu, řízení nebo administraci projektu (limit 8 % z celkové částky)</t>
  </si>
  <si>
    <t>B.1  Salaries, Fees and Per Diems of the Project Manager and of the Administrative Staff of the Implementer
B.1  Mzdy, odměny a diety projektového manažera a administrativních pracovníků realizátora</t>
  </si>
  <si>
    <t>Project manager honorarium (part-time, project duration)</t>
  </si>
  <si>
    <t>Subtotal — Salaries, Fees and Per Diems of the Project Manager and of the Administrative Staff of the Implementer
Mezisoučet — Mzdy, odměny a diety projektového manažera a administrativních pracovníků realizátora</t>
  </si>
  <si>
    <t>B.2  Travel, Accommodation, Insurance and Vaccination of the Staff Listed under B.1
B.2  Cestovné, ubytování, pojištění a očkování pracovníků uvedených v bodě B.1</t>
  </si>
  <si>
    <t>Local travel for project preparation and monitoring</t>
  </si>
  <si>
    <t>Subtotal — Travel, Accommodation, Insurance and Vaccination of the Staff Listed under B.1
Mezisoučet — Cestovné, ubytování, pojištění a očkování pracovníků uvedených v bodě B.1</t>
  </si>
  <si>
    <t>B.3  Translations, Bank Charges and Publicity of the Project
B.3  Překlady, bankovní poplatky a propagace projektu</t>
  </si>
  <si>
    <t>Bank charges, translation of reports, promotional materials (logo plaques, banners)</t>
  </si>
  <si>
    <t>Subtotal — Translations, Bank Charges and Publicity of the Project
Mezisoučet — Překlady, bankovní poplatky a propagace projektu</t>
  </si>
  <si>
    <t>SUBTOTAL B — SUPPORT COSTS
MEZISOUČET B — PODPŮRNÉ NÁKLADY</t>
  </si>
  <si>
    <t>GRAND TOTAL requested from the Czech Republic Official Development Assistance
CELKEM požadováno ze zahraniční rozvojové spolupráce České republiky</t>
  </si>
  <si>
    <t>C.  ADDITIONAL FUNDING FROM OTHER SOURCES   —   informative only; entered in local currency, NOT included in the grand total requested from the Czech Republic (see also section 11)
C.  DALŠÍ ZDROJE FINANCOVÁNÍ   —   pouze informativní; uvádí se v místní měně, NEZAPOČÍTÁVÁ se do celkové částky požadované od České republiky (viz též bod 11)</t>
  </si>
  <si>
    <t>Note / source of funding (optional)
Poznámka / zdroj financování (nepovinné)</t>
  </si>
  <si>
    <t>1</t>
  </si>
  <si>
    <t>In-kind volunteer hours of assistant instructors, safety divers and duty-roster volunteers (not covered by paid honorariums)</t>
  </si>
  <si>
    <t>hours</t>
  </si>
  <si>
    <t>Own funds: servicing of club compressor, cylinder valves and regulators (service parts and labour)</t>
  </si>
  <si>
    <t>3</t>
  </si>
  <si>
    <t>Own funds: adaptation of existing space for secure equipment storage and maintenance</t>
  </si>
  <si>
    <t>4</t>
  </si>
  <si>
    <t>Own cash contribution (insurance top-up, consumables)</t>
  </si>
  <si>
    <t>5</t>
  </si>
  <si>
    <t>6</t>
  </si>
  <si>
    <t>7</t>
  </si>
  <si>
    <t>8</t>
  </si>
  <si>
    <t>TOTAL C — ADDITIONAL FUNDING FROM OTHER SOURCES   (not included in the grand total above)
CELKEM C — DALŠÍ ZDROJE FINANCOVÁNÍ   (nezapočítává se do výše uvedené celkové částky)</t>
  </si>
  <si>
    <t>Automatic checks
Automatické kontroly</t>
  </si>
  <si>
    <t>Support costs (block B) as a share of the grand total — limit 8 %
Podpůrné náklady (blok B) jako podíl na celkové částce — limit 8 %</t>
  </si>
  <si>
    <t>Exchange rate reserve — rate chosen by the Embassy (permitted range 3 % to 5 %)****
Kurzová rezerva — sazba zvolená velvyslanectvím (povolené rozmezí 3 % až 5 %)</t>
  </si>
  <si>
    <t>Reserve is added in CZK only and is not available for project activities
Rezerva se přičítá pouze v Kč a není určena na aktivity projektu</t>
  </si>
  <si>
    <t>Amount of the exchange rate reserve
Výše kurzové rezervy</t>
  </si>
  <si>
    <t>TOTAL requested from Czech ODA in CZK including the exchange rate reserve
CELKEM požadováno ze ZRS ČR v Kč včetně kurzové rezervy</t>
  </si>
  <si>
    <t>*  Block B (support costs) covers in particular the salaries, fees and per diems of the project manager and of the administrative staff of the implementer, their travel, accommodation, insurance and vaccination, translations, bank charges and the publicity of the project. The total of block B must not exceed 8 % of the grand total requested from the Czech Republic Official Development Assistance.
*  Blok B (podpůrné náklady) zahrnuje zejména mzdy, odměny a diety projektového manažera a administrativních pracovníků realizátora, jejich cestovné, ubytování, pojištění a očkování, překlady, bankovní poplatky a propagaci projektu. Součet bloku B nesmí přesáhnout 8 % celkové částky požadované ze zahraniční rozvojové spolupráce České republiky.</t>
  </si>
  <si>
    <t>** Overhead costs of the implementing organization (in particular office rent, utilities, the accounting of the organization and internet services) cannot be paid from the project budget.
** Režijní náklady realizující organizace (zejména nájem kanceláře, energie, účetnictví organizace a internetové služby) nelze z rozpočtu projektu hradit.</t>
  </si>
  <si>
    <t>*** Every change to the activities or the budget must be notified to the Embassy in writing in advance. A budget change is the sum of the increases of the individual budget lines in CZK compared with the approved Identification Form (the original one or, after an approved change, the revised one), using the exchange rates communicated by the Embassy; each amount moved is counted once, decreases of budget lines and the exchange rate reserve are not counted. Budget changes that in aggregate do not exceed 10 % of the approved budget (excluding the exchange rate reserve) may be made after notification without approval, but must be described and quantified in the Final Report. Budget changes that in aggregate exceed 10 % and any change of activities or outputs require the prior written approval of the Embassy on the basis of a written, consecutively numbered change request submitted by the implementer with a revised Identification Form; the approved revised form replaces this one as an annex to the contract and becomes the new basis for assessing further changes — no contract amendment is concluded. Drawing on the exchange rate reserve is not a change of the budget, but it must be quantified in the Final Report.
*** Každou změnu aktivit nebo rozpočtu je nutné velvyslanectví předem písemně oznámit. Změnou rozpočtu se rozumí souhrn navýšení jednotlivých rozpočtových položek v Kč oproti schválenému identifikačnímu formuláři (původnímu, nebo po schválené změně upravenému), přepočtený kurzy sdělenými velvyslanectvím; každá přesunutá částka se počítá jednou, snížení položek a kurzová rezerva se nezapočítávají. Změny rozpočtu, které v souhrnu nepřesáhnou 10 % schváleného rozpočtu (bez kurzové rezervy), lze po oznámení provést bez schválení, musí však být popsány a vyčísleny v závěrečné zprávě. Změny rozpočtu, které v souhrnu přesáhnou 10 %, a jakákoli změna aktivit nebo výstupů vyžadují předchozí písemné schválení velvyslanectví na základě písemné, vzestupně číslované žádosti o změnu, kterou realizátor předloží spolu s upraveným identifikačním formulářem; schválený upravený formulář nahrazuje tento formulář jako přílohu smlouvy a stává se novým základem pro posuzování dalších změn — dodatek ke smlouvě se neuzavírá. Čerpání kurzové rezervy není změnou rozpočtu, musí však být vyčísleno v závěrečné zprávě.</t>
  </si>
  <si>
    <t xml:space="preserve">**** The exchange rate reserve covers exchange rate movements only. 
**** Kurzová rezerva kryje pouze pohyby kurzu. </t>
  </si>
  <si>
    <t>11. Information about the Co-financing Entity
11. Informace o spolufinancujícím subjektu</t>
  </si>
  <si>
    <t>Fill in only if additional funding from another entity is present.
Vyplňte pouze v případě, že je projekt spolufinancován jiným subjektem.</t>
  </si>
  <si>
    <t>Name of the Organization
Název organizace</t>
  </si>
  <si>
    <t>Type of Organization (e.g. municipality, NGO, company, church, international organization)
Typ organizace (např. obec, nezisková organizace, firma, církev, mezinárodní organizace)</t>
  </si>
  <si>
    <t>Contact Details (contact person, telephone, e-mail)
Kontaktní údaje (kontaktní osoba, telefon, e-mail)</t>
  </si>
  <si>
    <t>Brief description of the activities of the co-financing entity
Stručný popis činnosti spolufinancujícího subjektu</t>
  </si>
  <si>
    <t>12. Final Clauses
12. Závěrečná ustanovení</t>
  </si>
  <si>
    <t>Done in (city)
Vyhotoveno v (město)</t>
  </si>
  <si>
    <t>Sarajevo</t>
  </si>
  <si>
    <t>Done on (date)
Dne (datum)</t>
  </si>
  <si>
    <t>15.10.2026</t>
  </si>
  <si>
    <t>Submitted by (name and position)
Předkládá (jméno a funkce)</t>
  </si>
  <si>
    <t>Adnan Drnda, President of KVS SCUBA</t>
  </si>
  <si>
    <t>Telephone
Telefon</t>
  </si>
  <si>
    <t>Signature
Podpis</t>
  </si>
  <si>
    <t>The project proposal is submitted to the Embassy electronically. If the applicant does not have an electronic signature, the Identification Form may be submitted unsigned — either way all the other fields must be completed, including the contact person, the telephone number and the e-mail address, so that the Embassy can reach the applicant. The Identification Form is an annex to the contract concluded between the Embassy and the implementer: if the project proposal is approved, the form is signed together with the contract. After the project has been implemented, the Final Report and the Financial Report sheets must both filled and signed by the authorised person of the implementer before they are submitted to the Embassy.
Námět projektu se velvyslanectví podává elektronicky. Pokud žadatel nemá digitální podpis, může identifikační formulář podat nepodepsaný — v obou případech musí být vyplněna všechna ostatní pole včetně kontaktní osoby, telefonního čísla a e-mailové adresy, aby se velvyslanectví mohlo se žadatelem spojit. Identifikační formulář je přílohou smlouvy uzavírané mezi velvyslanectvím a realizátorem: v případě schválení námětu se formulář podepisuje spolu se smlouvou. Po realizaci projektu musí být vyplněny listy Závěrečná zpráva a Finanční zpráva, a před odesláním velvyslanectví musí být oba podepsány oprávněnou osobou realizátora.</t>
  </si>
  <si>
    <t>Financial Report on Small Scale Project Implementation
Finanční zpráva o realizaci malého lokálního projektu</t>
  </si>
  <si>
    <t>THIS SHEET IS COMPLETED ONLY FOR AN APPROVED PROJECT, AFTER THE IMPLEMENTATION HAS ENDED, including early termination. Grey cells are taken from the Identification Form or are calculated; fill in the white cells only. For every budget line enter the amount actually spent in the currency of implementation AND the corresponding amount in CZK - for that purpose the Embassy will provide used exchange rate for each payment. The CZK amounts are NOT derived from an exchange rate — enter the CZK amount that was actually converted or actually drawn from the Czech funds, so that payments made at different exchange rates on different dates are reported correctly. If one line was paid at more than one rate, enter the sum of the amounts actually paid in each currency. The Financial Report must be SIGNED by the authorised person of the implementer before submission (signature block at the end of this sheet).
TENTO LIST SE VYPLŇUJE POUZE U SCHVÁLENÉHO PROJEKTU, A TO AŽ PO UKONČENÍ REALIZACE, včetně předčasného ukončení. Šedé buňky se přebírají z identifikačního formuláře nebo se počítají; vyplňujte pouze bílé buňky. U každé rozpočtové položky uveďte skutečně vynaloženou částku v měně realizace a odpovídající částku v Kč, velvyslanectví poskytne použitý kurz pro přepočet na Kč k jednotlivým platbám. Částky v Kč se nepočítají z kurzu — uveďte částku v Kč, která byla skutečně směněna nebo skutečně čerpána z českých prostředků, aby bylo možné správně vykázat platby provedené v různých dnech a různými kurzy. Pokud byla jedna položka hrazena více kurzy, uveďte součet částek skutečně zaplacených v každé měně. Finanční zpráva musí být před odesláním PODEPSÁNA oprávněnou osobou realizátora (podpisový blok na konci tohoto listu).</t>
  </si>
  <si>
    <t>Type of Costs (from Identification Form)
Druh nákladů (z identifikačního formuláře)</t>
  </si>
  <si>
    <t>Approved Units
Schválený počet jednotek</t>
  </si>
  <si>
    <t>Approved Unit Price
Schválená cena za jednotku</t>
  </si>
  <si>
    <t>Approved Total (local currency)
Schválená částka celkem (místní měna)</t>
  </si>
  <si>
    <t>Real Units
Skutečný počet jednotek</t>
  </si>
  <si>
    <t>Real Total (local currency)
Skutečně celkem (místní měna)</t>
  </si>
  <si>
    <t>Real Total (CZK) 
Skutečně celkem (Kč)</t>
  </si>
  <si>
    <t>Approved Total (CZK)
Schválená částka celkem (Kč)</t>
  </si>
  <si>
    <t>Difference (CZK)
Rozdíl (Kč)</t>
  </si>
  <si>
    <t>Check
Kontrola</t>
  </si>
  <si>
    <t>A.  PROJECT COSTS
A.  PROJEKTOVÉ NÁKLADY</t>
  </si>
  <si>
    <t>A.3  Fees of Lecturers, Trainers, Experts and Other Persons Whose Work Is Itself an Output of the Project
A.3  Odměny lektorů, školitelů, expertů a dalších osob, jejichž práce je sama výstupem projektu</t>
  </si>
  <si>
    <t>B.  SUPPORT COSTS
B.  PODPŮRNÉ NÁKLADY</t>
  </si>
  <si>
    <t>GRAND TOTAL actually spent
CELKEM skutečně vyčerpáno</t>
  </si>
  <si>
    <t>Approved in CZK including the exchange rate reserve (contract amount)
Schváleno v Kč včetně kurzové rezervy (smluvní částka)</t>
  </si>
  <si>
    <t>Unspent amount to be returned to the Embassy (CZK)
Nevyčerpaná částka k vrácení velvyslanectví (Kč)</t>
  </si>
  <si>
    <t>Support costs (block B) as a share of actual spending — limit 8 %
Podpůrné náklady (blok B) jako podíl na skutečném čerpání — limit 8 %</t>
  </si>
  <si>
    <t>Exchange rate reserve actually drawn (CZK)
Skutečně čerpaná kurzová rezerva (Kč)</t>
  </si>
  <si>
    <t>Not a change of the budget; shown in section 1 of the Final Report.
Nejde o změnu rozpočtu; uvádí se v bodě 1 závěrečné zprávy.</t>
  </si>
  <si>
    <t>Budget change** — increases of budget lines in CZK vs. the approved Identification Form, as a share of the approved budget excl. the reserve — limit 10 %
Změna rozpočtu** — navýšení rozpočtových položek v Kč oproti schválenému identifikačnímu formuláři, jako podíl na schváleném rozpočtu bez rezervy — limit 10 %</t>
  </si>
  <si>
    <t>Additional funding from other sources
Další zdroje financování</t>
  </si>
  <si>
    <t>Informative only — does not affect the Czech funding
Pouze informativní — neovlivňuje české financování</t>
  </si>
  <si>
    <t>Planned (local)
Plánováno (místní měna)</t>
  </si>
  <si>
    <t>Actually used (local)
Skutečně použito (místní měna)</t>
  </si>
  <si>
    <t>TOTAL additional funding from other sources
CELKEM další zdroje financování</t>
  </si>
  <si>
    <t>*  The total of block B (support costs) must not exceed 8 % of the amount provided from the Czech Republic Official Development Assistance.
*  Součet bloku B (podpůrné náklady) nesmí přesáhnout 8 % částky poskytnuté ze zahraniční rozvojové spolupráce České republiky.</t>
  </si>
  <si>
    <t>** A budget change is the sum of the increases of the individual budget lines in CZK compared with the approved Identification Form (the original one or, after an approved change, the revised one), using the exchange rates communicated by the Embassy; each amount moved is counted once, decreases and the exchange rate reserve are not counted. Changes that in aggregate did not exceed 10 % of the approved budget (excluding the exchange rate reserve) only had to be notified to the Embassy in writing in advance; changes above 10 % required a written change request approved by the Embassy in advance (no contract amendment is concluded). The check above shows the result. If it shows "approved change request required", the number and date of the approved change request must be stated in section 5 of the Final Report; smaller changes must also be described there. Any change of activities or outputs required prior approval regardless of the amount.
** Změnou rozpočtu se rozumí souhrn navýšení jednotlivých rozpočtových položek v Kč oproti schválenému identifikačnímu formuláři (původnímu, nebo po schválené změně upravenému), přepočtený kurzy sdělenými velvyslanectvím; každá přesunutá částka se počítá jednou, snížení položek a kurzová rezerva se nezapočítávají. Změny, které v souhrnu nepřesáhly 10 % schváleného rozpočtu (bez kurzové rezervy), stačilo velvyslanectví předem písemně oznámit; změny nad 10 % vyžadovaly písemnou žádost o změnu předem schválenou velvyslanectvím (dodatek ke smlouvě se neuzavírá). Výsledek ukazuje kontrola výše. Ukazuje-li „nutná schválená žádost o změnu“, musí být v bodě 5 závěrečné zprávy uvedeno číslo a datum schválené žádosti; menší změny je tam rovněž nutné popsat. Jakákoli změna aktivit nebo výstupů vyžadovala předchozí schválení bez ohledu na výši částky.</t>
  </si>
  <si>
    <t xml:space="preserve">Signature of the implementer 
Podpis realizátora   </t>
  </si>
  <si>
    <t>Date
Datum</t>
  </si>
  <si>
    <t>Signed by (name and position of the authorised person)
Podepisuje (jméno a funkce oprávněné osoby)</t>
  </si>
  <si>
    <t xml:space="preserve">Both reports — the Final Report sheet and this Financial Report sheet — must be signed by the authorised person of the implementer before submission, in the same manner as the Identification Form (electronic signature, or handwritten signature delivered in paper form or as a scan). 
Obě zprávy — list Závěrečná zpráva i tento list Finanční zpráva — musí být před odesláním velvyslanectví podepsány oprávněnou osobou realizátora stejným způsobem jako identifikační formulář (elektronický podpis, nebo vlastnoruční podpis doručený v listinné podobě či ve formě skenu). </t>
  </si>
  <si>
    <t>Final Report on Small Scale Project Implementation
Závěrečná zpráva o realizaci malého lokálního projektu</t>
  </si>
  <si>
    <t>THIS SHEET IS COMPLETED ONLY FOR AN APPROVED PROJECT, AFTER THE IMPLEMENTATION HAS BEEN COMPLETED — including cases where the project ended earlier than planned. It is submitted to the Embassy within one month of the completion of the project but no later than 15 November of the relevant year, together with the Financial Report and the photographs of the marked outputs. BOTH the Final Report and the Financial Report must be SIGNED by the authorised person of the implementer before submission — electronically, or by hand and delivered in paper form or as a scan; unsigned reports cannot be accepted. Grey cells are taken from the Identification Form and from the Financial Report; fill in the white cells only.
TENTO LIST SE VYPLŇUJE POUZE U SCHVÁLENÉHO PROJEKTU, A TO AŽ PO UKONČENÍ REALIZACE — včetně případů, kdy projekt skončil dříve, než bylo plánováno. Velvyslanectví se předkládá do jednoho měsíce od ukončení projektu, nejpozději však do 15. listopadu příslušného roku, spolu s finanční zprávou a fotografiemi označených výstupů. Závěrečná zpráva I finanční zpráva musí být před odesláním PODEPSÁNY oprávněnou osobou realizátora — elektronicky, nebo vlastnoručně s doručením v listinné podobě či ve formě skenu; nepodepsané zprávy nelze přijmout. Šedé buňky se přebírají z identifikačního formuláře a z finanční zprávy; vyplňujte pouze bílé buňky.</t>
  </si>
  <si>
    <t>Project Title
Název projektu</t>
  </si>
  <si>
    <t>Project Number
Číslo projektu</t>
  </si>
  <si>
    <t>Project Location
Místo realizace</t>
  </si>
  <si>
    <t>Planned beginning
Plánované zahájení</t>
  </si>
  <si>
    <t>Planned termination
Plánované ukončení</t>
  </si>
  <si>
    <t>Actual beginning (month / year)
Skutečné zahájení (měsíc / rok)</t>
  </si>
  <si>
    <t>Actual termination (month / year)
Skutečné ukončení (měsíc / rok)</t>
  </si>
  <si>
    <t>Was the implementation terminated earlier than planned?
Byla realizace ukončena dříve, než bylo plánováno?</t>
  </si>
  <si>
    <t>If yes, state the reason
Pokud ano, uveďte důvod</t>
  </si>
  <si>
    <t>1. Funding
1. Financování</t>
  </si>
  <si>
    <t>Approved from Czech ODA in CZK including the exchange rate reserve
Schváleno ze ZRS ČR v Kč včetně kurzové rezervy</t>
  </si>
  <si>
    <t>Actually spent from Czech ODA in CZK
Skutečně vyčerpáno ze ZRS ČR v Kč</t>
  </si>
  <si>
    <t>Unspent amount returned to the Embassy in CZK
Nevyčerpaná částka vrácená velvyslanectví v Kč</t>
  </si>
  <si>
    <t>Additional funding from other sources actually used (local currency)
Skutečně použité prostředky z dalších zdrojů (místní měna)</t>
  </si>
  <si>
    <t>2. Implementing Organization
2. Realizující organizace</t>
  </si>
  <si>
    <t>Acting By and Through (name and position)
Zastoupená (jméno a funkce)</t>
  </si>
  <si>
    <t>Contact person for this report (name, telephone)
Kontaktní osoba pro tuto zprávu (jméno, telefon)</t>
  </si>
  <si>
    <t>3. Target Group Actually Reached
3. Skutečně zasažená cílová skupina</t>
  </si>
  <si>
    <t>Planned number
Plánovaný počet</t>
  </si>
  <si>
    <t>Actual number
Skutečný počet</t>
  </si>
  <si>
    <t>% of plan
% plánu</t>
  </si>
  <si>
    <t>Explanation if the number differs from the plan
Vysvětlení, pokud se počet liší od plánu</t>
  </si>
  <si>
    <t>4. Activities, Outputs and Indicators
4. Aktivity, výstupy a indikátory</t>
  </si>
  <si>
    <t>The first four columns are taken from the Identification Form and cannot be edited. Report the value actually achieved for every activity that was planned. The status is calculated automatically.
První čtyři sloupce se přebírají z identifikačního formuláře a nelze je upravovat. U každé plánované aktivity uveďte skutečně dosaženou hodnotu. Stav se počítá automaticky.</t>
  </si>
  <si>
    <t>Activity (planned)
Aktivita (plánovaná)</t>
  </si>
  <si>
    <t>Target
Cíl</t>
  </si>
  <si>
    <t>Achieved
Dosaženo</t>
  </si>
  <si>
    <t>Status
Stav</t>
  </si>
  <si>
    <t>Explanation if not fully achieved
Vysvětlení, pokud nebylo plně dosaženo</t>
  </si>
  <si>
    <t>Evidence attached
Přiložené doklady</t>
  </si>
  <si>
    <t>5. Changes During Implementation
5. Změny v průběhu realizace</t>
  </si>
  <si>
    <t>List every change to the activities or the budget compared with the approved Identification Form. A budget change is the sum of the increases of the individual budget lines in CZK (each amount moved counted once; decreases and the exchange rate reserve are not counted). Budget changes that in aggregate did not exceed 10 % of the approved budget (excluding the exchange rate reserve) only had to be notified to the Embassy in writing in advance. Larger budget changes and any change of activities or outputs required a written change request approved by the Embassy in advance; the approved change request with the revised Identification Form replaces the original form. If the Financial Report shows "approved change request required", the number and date of the approved change request must be stated here. Drawing on the exchange rate reserve is not a change of the budget; the amount drawn is shown in section 1.
Uveďte každou změnu aktivit nebo rozpočtu oproti schválenému identifikačnímu formuláři. Změnou rozpočtu se rozumí souhrn navýšení jednotlivých rozpočtových položek v Kč (každá přesunutá částka se počítá jednou; snížení položek a kurzová rezerva se nezapočítávají). Změny rozpočtu, které v souhrnu nepřesáhly 10 % schváleného rozpočtu (bez kurzové rezervy), stačilo velvyslanectví předem písemně oznámit. Větší změny rozpočtu a jakákoli změna aktivit nebo výstupů vyžadovaly písemnou žádost o změnu předem schválenou velvyslanectvím; schválená žádost o změnu s upraveným identifikačním formulářem nahrazuje původní formulář. Pokud finanční zpráva ukazuje „nutná schválená žádost o změnu“, musí zde být uvedeno číslo a datum schválené žádosti. Čerpání kurzové rezervy není změnou rozpočtu; čerpaná částka je uvedena v bodě 1.</t>
  </si>
  <si>
    <t>What was changed (activity or budget line)
Co bylo změněno (aktivita nebo rozpočtová položka)</t>
  </si>
  <si>
    <t>Date of change
Datum změny</t>
  </si>
  <si>
    <t>Type of change
Typ změny</t>
  </si>
  <si>
    <t>Reference (change request No. and date of approval, or notification e-mail / letter)
Odkaz (číslo a datum schválení žádosti o změnu, nebo oznamovací e-mail / dopis)</t>
  </si>
  <si>
    <t>6. Sustainability and Ownership of the Outputs
6. Udržitelnost a vlastnictví výstupů</t>
  </si>
  <si>
    <t>Describe the condition of the outputs at handover and how the benefits for the target group will continue.
Popište stav výstupů při předání a to, jak budou přínosy pro cílovou skupinu pokračovat.</t>
  </si>
  <si>
    <t>7. Visibility of Czech Assistance
7. Viditelnost české pomoci</t>
  </si>
  <si>
    <t>How were the material outputs actually marked with the MFA CZ logo, and how was the support from the Czech Republic stated for the intangible outputs?
Jak byly hmotné výstupy skutečně označeny logem MZV ČR a jak byla u nehmotných výstupů uvedena podpora České republiky?</t>
  </si>
  <si>
    <t>Note
Poznámka</t>
  </si>
  <si>
    <t>Number of photographs of the marked outputs attached to this report
Počet fotografií označených výstupů přiložených k této zprávě</t>
  </si>
  <si>
    <t>Committed in the Identification Form
Přislíbeno v identifikačním formuláři</t>
  </si>
  <si>
    <t>Handover or opening event with the participation of the Embassy took place
Předání nebo slavnostní otevření za účasti velvyslanectví proběhlo</t>
  </si>
  <si>
    <t>Media or online coverage of the project (name of the medium, date, link)
Mediální nebo online výstupy o projektu (název média, datum, odkaz)</t>
  </si>
  <si>
    <t>8. Financial Summary in CZK   (calculated from the Financial Report)
8. Finanční souhrn v Kč   (počítá se z finanční zprávy)</t>
  </si>
  <si>
    <t>Budget Category
Rozpočtová kategorie</t>
  </si>
  <si>
    <t>Approved (CZK)
Schváleno (Kč)</t>
  </si>
  <si>
    <t>Actually spent (CZK)
Skutečně vyčerpáno (Kč)</t>
  </si>
  <si>
    <t>A.1  Material, Goods and Equipment
A.1  Materiál, zboží a vybavení</t>
  </si>
  <si>
    <t>A.3  Fees of Lecturers, Trainers and Experts
A.3  Odměny lektorů, školitelů a expertů</t>
  </si>
  <si>
    <t>A.4  Costs of Training Participants
A.4  Náklady účastníků školení</t>
  </si>
  <si>
    <t>B.1  Salaries, Fees and Per Diems of Staff
B.1  Mzdy, odměny a diety pracovníků</t>
  </si>
  <si>
    <t>B.2  Travel, Accommodation, Insurance and Vaccination
B.2  Cestovné, ubytování, pojištění a očkování</t>
  </si>
  <si>
    <t>B.3  Translations, Bank Charges and Publicity
B.3  Překlady, bankovní poplatky a propagace</t>
  </si>
  <si>
    <t>TOTAL
CELKEM</t>
  </si>
  <si>
    <t>9. Lessons Learned
9. Získané zkušenosti</t>
  </si>
  <si>
    <t>State what worked, what did not work and what you would do differently. Do not repeat information already given above.
Uveďte, co fungovalo, co nefungovalo a co byste udělali jinak. Neopakujte informace uvedené výše.</t>
  </si>
  <si>
    <t>10. Final Clauses
10. Závěrečná ustanovení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</si>
</sst>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
    <numFmt numFmtId="166" formatCode="0.0%"/>
  </numFmts>
  <fonts count="11" x14ac:knownFonts="1">
    <font>
      <sz val="11"/>
      <color theme="1"/>
      <name val="Calibri"/>
      <family val="2"/>
      <charset val="1"/>
    </font>
    <font>
      <b/>
      <sz val="18"/>
      <name val="Times New Roman"/>
      <family val="1"/>
      <charset val="1"/>
    </font>
    <font>
      <sz val="11"/>
      <name val="Times New Roman"/>
      <family val="1"/>
      <charset val="1"/>
    </font>
    <font>
      <b/>
      <sz val="11"/>
      <name val="Times New Roman"/>
      <family val="1"/>
      <charset val="1"/>
    </font>
    <font>
      <b/>
      <sz val="14"/>
      <name val="Times New Roman"/>
      <family val="1"/>
      <charset val="1"/>
    </font>
    <font>
      <sz val="9"/>
      <name val="Times New Roman"/>
      <family val="1"/>
      <charset val="1"/>
    </font>
    <font>
      <b/>
      <sz val="10"/>
      <name val="Times New Roman"/>
      <family val="1"/>
      <charset val="1"/>
    </font>
    <font>
      <b/>
      <sz val="11"/>
      <color rgb="FF000000"/>
      <name val="Times New Roman"/>
      <family val="1"/>
      <charset val="1"/>
    </font>
    <font>
      <b/>
      <sz val="9"/>
      <name val="Times New Roman"/>
      <family val="1"/>
      <charset val="1"/>
    </font>
    <font>
      <sz val="10"/>
      <color rgb="FF808080"/>
      <name val="Times New Roman"/>
      <family val="1"/>
      <charset val="1"/>
    </font>
    <font>
      <sz val="11"/>
      <name val="Times New Roman"/>
      <family val="1"/>
      <charset val="238"/>
    </font>
  </fonts>
  <fills count="16">
    <fill>
      <patternFill patternType="none"/>
    </fill>
    <fill>
      <patternFill patternType="gray125"/>
    </fill>
    <fill>
      <patternFill patternType="solid">
        <fgColor rgb="FFDCE6F1"/>
        <bgColor rgb="FFEAF0F8"/>
      </patternFill>
    </fill>
    <fill>
      <patternFill patternType="solid">
        <fgColor rgb="FFFFFBEE"/>
        <bgColor rgb="FFFFFAEB"/>
      </patternFill>
    </fill>
    <fill>
      <patternFill patternType="solid">
        <fgColor rgb="FFF5F8FC"/>
        <bgColor rgb="FFF0F4FA"/>
      </patternFill>
    </fill>
    <fill>
      <patternFill patternType="solid">
        <fgColor rgb="FFFFFFFF"/>
        <bgColor rgb="FFFFFBEE"/>
      </patternFill>
    </fill>
    <fill>
      <patternFill patternType="solid">
        <fgColor rgb="FFF2F2F2"/>
        <bgColor rgb="FFF0F4FA"/>
      </patternFill>
    </fill>
    <fill>
      <patternFill patternType="solid">
        <fgColor rgb="FFEAF0F8"/>
        <bgColor rgb="FFF0F4FA"/>
      </patternFill>
    </fill>
    <fill>
      <patternFill patternType="solid">
        <fgColor rgb="FFF0F4FA"/>
        <bgColor rgb="FFF2F2F2"/>
      </patternFill>
    </fill>
    <fill>
      <patternFill patternType="solid">
        <fgColor rgb="FFFFE69F"/>
        <bgColor rgb="FFFFF0C2"/>
      </patternFill>
    </fill>
    <fill>
      <patternFill patternType="solid">
        <fgColor rgb="FFFFFAEB"/>
        <bgColor rgb="FFFFFBEE"/>
      </patternFill>
    </fill>
    <fill>
      <patternFill patternType="solid">
        <fgColor theme="6" tint="0.59987182226020086"/>
        <bgColor rgb="FFDCE6F1"/>
      </patternFill>
    </fill>
    <fill>
      <patternFill patternType="solid">
        <fgColor rgb="FFF1F5E7"/>
        <bgColor rgb="FFF2F2F2"/>
      </patternFill>
    </fill>
    <fill>
      <patternFill patternType="solid">
        <fgColor rgb="FFFFF0C2"/>
        <bgColor rgb="FFFDEBDD"/>
      </patternFill>
    </fill>
    <fill>
      <patternFill patternType="solid">
        <fgColor rgb="FFFDEBDD"/>
        <bgColor rgb="FFFFF7E0"/>
      </patternFill>
    </fill>
    <fill>
      <patternFill patternType="solid">
        <fgColor rgb="FFFFF7E0"/>
        <bgColor rgb="FFFFFAEB"/>
      </patternFill>
    </fill>
  </fills>
  <borders count="42">
    <border>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diagonal/>
    </border>
    <border>
      <left style="thin">
        <color rgb="FF808080"/>
      </left>
      <right style="thin">
        <color rgb="FF808080"/>
      </right>
      <top style="medium">
        <color theme="4" tint="-0.499984740745262"/>
      </top>
      <bottom style="thin">
        <color rgb="FF808080"/>
      </bottom>
      <diagonal/>
    </border>
    <border>
      <left style="thin">
        <color rgb="FF808080"/>
      </left>
      <right/>
      <top style="medium">
        <color theme="4" tint="-0.499984740745262"/>
      </top>
      <bottom style="thin">
        <color rgb="FF808080"/>
      </bottom>
      <diagonal/>
    </border>
    <border>
      <left style="thin">
        <color rgb="FF808080"/>
      </left>
      <right/>
      <top style="thin">
        <color rgb="FF808080"/>
      </top>
      <bottom style="thin">
        <color rgb="FF808080"/>
      </bottom>
      <diagonal/>
    </border>
    <border>
      <left style="medium">
        <color theme="4" tint="-0.499984740745262"/>
      </left>
      <right style="thin">
        <color rgb="FF808080"/>
      </right>
      <top style="medium">
        <color theme="4" tint="-0.499984740745262"/>
      </top>
      <bottom style="thin">
        <color rgb="FF808080"/>
      </bottom>
      <diagonal/>
    </border>
    <border>
      <left style="medium">
        <color theme="4" tint="-0.499984740745262"/>
      </left>
      <right style="thin">
        <color rgb="FF808080"/>
      </right>
      <top style="thin">
        <color rgb="FF808080"/>
      </top>
      <bottom style="thin">
        <color rgb="FF808080"/>
      </bottom>
      <diagonal/>
    </border>
    <border>
      <left style="medium">
        <color theme="4" tint="-0.499984740745262"/>
      </left>
      <right style="thin">
        <color rgb="FF808080"/>
      </right>
      <top style="thin">
        <color rgb="FF808080"/>
      </top>
      <bottom style="medium">
        <color theme="4" tint="-0.499984740745262"/>
      </bottom>
      <diagonal/>
    </border>
    <border>
      <left style="thin">
        <color rgb="FF808080"/>
      </left>
      <right style="thin">
        <color rgb="FF808080"/>
      </right>
      <top style="thin">
        <color rgb="FF808080"/>
      </top>
      <bottom style="medium">
        <color theme="4" tint="-0.499984740745262"/>
      </bottom>
      <diagonal/>
    </border>
    <border>
      <left style="thin">
        <color rgb="FF808080"/>
      </left>
      <right style="medium">
        <color theme="4" tint="-0.499984740745262"/>
      </right>
      <top style="thin">
        <color rgb="FF808080"/>
      </top>
      <bottom style="medium">
        <color theme="4" tint="-0.499984740745262"/>
      </bottom>
      <diagonal/>
    </border>
    <border>
      <left style="thin">
        <color rgb="FF808080"/>
      </left>
      <right style="thin">
        <color rgb="FF808080"/>
      </right>
      <top/>
      <bottom/>
      <diagonal/>
    </border>
    <border>
      <left style="medium">
        <color theme="3" tint="-0.249977111117893"/>
      </left>
      <right style="thin">
        <color rgb="FF808080"/>
      </right>
      <top style="medium">
        <color theme="3" tint="-0.249977111117893"/>
      </top>
      <bottom/>
      <diagonal/>
    </border>
    <border>
      <left style="medium">
        <color theme="3" tint="-0.249977111117893"/>
      </left>
      <right style="thin">
        <color rgb="FF808080"/>
      </right>
      <top style="medium">
        <color theme="3" tint="-0.249977111117893"/>
      </top>
      <bottom style="thin">
        <color rgb="FF808080"/>
      </bottom>
      <diagonal/>
    </border>
    <border>
      <left style="medium">
        <color theme="3" tint="-0.249977111117893"/>
      </left>
      <right style="thin">
        <color rgb="FF808080"/>
      </right>
      <top style="thin">
        <color rgb="FF808080"/>
      </top>
      <bottom style="thin">
        <color rgb="FF808080"/>
      </bottom>
      <diagonal/>
    </border>
    <border>
      <left style="medium">
        <color theme="3" tint="-0.249977111117893"/>
      </left>
      <right style="thin">
        <color rgb="FF808080"/>
      </right>
      <top style="thin">
        <color rgb="FF808080"/>
      </top>
      <bottom/>
      <diagonal/>
    </border>
    <border>
      <left style="medium">
        <color theme="3" tint="-0.249977111117893"/>
      </left>
      <right/>
      <top style="thin">
        <color rgb="FF808080"/>
      </top>
      <bottom style="medium">
        <color theme="3" tint="-0.249977111117893"/>
      </bottom>
      <diagonal/>
    </border>
    <border>
      <left style="thin">
        <color rgb="FF808080"/>
      </left>
      <right style="medium">
        <color theme="3" tint="-0.249977111117893"/>
      </right>
      <top style="thin">
        <color rgb="FF808080"/>
      </top>
      <bottom style="medium">
        <color theme="3" tint="-0.249977111117893"/>
      </bottom>
      <diagonal/>
    </border>
    <border>
      <left style="medium">
        <color theme="3" tint="-0.249977111117893"/>
      </left>
      <right style="thin">
        <color rgb="FF808080"/>
      </right>
      <top style="thin">
        <color rgb="FF808080"/>
      </top>
      <bottom style="medium">
        <color theme="3" tint="-0.249977111117893"/>
      </bottom>
      <diagonal/>
    </border>
    <border>
      <left style="thin">
        <color rgb="FF808080"/>
      </left>
      <right style="thin">
        <color rgb="FF808080"/>
      </right>
      <top style="thin">
        <color rgb="FF808080"/>
      </top>
      <bottom style="medium">
        <color theme="3" tint="-0.249977111117893"/>
      </bottom>
      <diagonal/>
    </border>
    <border>
      <left style="thin">
        <color rgb="FF808080"/>
      </left>
      <right style="thin">
        <color rgb="FF808080"/>
      </right>
      <top/>
      <bottom style="thin">
        <color rgb="FF808080"/>
      </bottom>
      <diagonal/>
    </border>
    <border>
      <left/>
      <right/>
      <top style="medium">
        <color theme="4" tint="-0.499984740745262"/>
      </top>
      <bottom style="thin">
        <color rgb="FF808080"/>
      </bottom>
      <diagonal/>
    </border>
    <border>
      <left/>
      <right style="thin">
        <color rgb="FF808080"/>
      </right>
      <top style="medium">
        <color theme="4" tint="-0.499984740745262"/>
      </top>
      <bottom style="thin">
        <color rgb="FF808080"/>
      </bottom>
      <diagonal/>
    </border>
    <border>
      <left/>
      <right/>
      <top style="thin">
        <color rgb="FF808080"/>
      </top>
      <bottom style="medium">
        <color theme="4" tint="-0.499984740745262"/>
      </bottom>
      <diagonal/>
    </border>
    <border>
      <left/>
      <right style="thin">
        <color rgb="FF808080"/>
      </right>
      <top style="thin">
        <color rgb="FF808080"/>
      </top>
      <bottom style="medium">
        <color theme="4" tint="-0.499984740745262"/>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right/>
      <top style="thin">
        <color rgb="FF808080"/>
      </top>
      <bottom/>
      <diagonal/>
    </border>
    <border>
      <left/>
      <right style="thin">
        <color rgb="FF808080"/>
      </right>
      <top style="thin">
        <color rgb="FF808080"/>
      </top>
      <bottom/>
      <diagonal/>
    </border>
    <border>
      <left/>
      <right style="thin">
        <color rgb="FF808080"/>
      </right>
      <top/>
      <bottom/>
      <diagonal/>
    </border>
    <border>
      <left/>
      <right/>
      <top style="medium">
        <color theme="3" tint="-0.249977111117893"/>
      </top>
      <bottom/>
      <diagonal/>
    </border>
    <border>
      <left/>
      <right style="thin">
        <color rgb="FF808080"/>
      </right>
      <top style="medium">
        <color theme="3" tint="-0.249977111117893"/>
      </top>
      <bottom/>
      <diagonal/>
    </border>
    <border>
      <left/>
      <right/>
      <top style="medium">
        <color theme="3" tint="-0.249977111117893"/>
      </top>
      <bottom style="thin">
        <color rgb="FF808080"/>
      </bottom>
      <diagonal/>
    </border>
    <border>
      <left/>
      <right style="thin">
        <color rgb="FF808080"/>
      </right>
      <top style="medium">
        <color theme="3" tint="-0.249977111117893"/>
      </top>
      <bottom style="thin">
        <color rgb="FF808080"/>
      </bottom>
      <diagonal/>
    </border>
    <border>
      <left/>
      <right/>
      <top style="thin">
        <color rgb="FF808080"/>
      </top>
      <bottom style="medium">
        <color theme="3" tint="-0.249977111117893"/>
      </bottom>
      <diagonal/>
    </border>
    <border>
      <left/>
      <right style="thin">
        <color rgb="FF808080"/>
      </right>
      <top style="thin">
        <color rgb="FF808080"/>
      </top>
      <bottom style="medium">
        <color theme="3" tint="-0.249977111117893"/>
      </bottom>
      <diagonal/>
    </border>
    <border>
      <left/>
      <right/>
      <top/>
      <bottom style="thin">
        <color rgb="FF808080"/>
      </bottom>
      <diagonal/>
    </border>
    <border>
      <left/>
      <right style="thin">
        <color rgb="FF808080"/>
      </right>
      <top/>
      <bottom style="thin">
        <color rgb="FF808080"/>
      </bottom>
      <diagonal/>
    </border>
    <border>
      <left/>
      <right/>
      <top style="medium">
        <color theme="4" tint="-0.499984740745262"/>
      </top>
      <bottom/>
      <diagonal/>
    </border>
    <border>
      <left/>
      <right style="thin">
        <color rgb="FF808080"/>
      </right>
      <top style="medium">
        <color theme="4" tint="-0.499984740745262"/>
      </top>
      <bottom/>
      <diagonal/>
    </border>
    <border>
      <left/>
      <right style="medium">
        <color theme="3" tint="-0.249977111117893"/>
      </right>
      <top style="thin">
        <color rgb="FF808080"/>
      </top>
      <bottom style="medium">
        <color theme="3" tint="-0.249977111117893"/>
      </bottom>
      <diagonal/>
    </border>
    <border>
      <left style="thin">
        <color rgb="FF808080"/>
      </left>
      <right/>
      <top/>
      <bottom style="thin">
        <color rgb="FF808080"/>
      </bottom>
      <diagonal/>
    </border>
  </borders>
  <cellStyleXfs count="1">
    <xf numFmtId="0" fontId="0" fillId="0" borderId="0"/>
  </cellStyleXfs>
  <cellXfs count="170">
    <xf numFmtId="0" fontId="0" fillId="0" borderId="0" xfId="0"/>
    <xf numFmtId="0" fontId="2" fillId="6"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3" fillId="4" borderId="2" xfId="0" applyFont="1" applyFill="1" applyBorder="1" applyAlignment="1">
      <alignment horizontal="left" vertical="center" wrapText="1"/>
    </xf>
    <xf numFmtId="0" fontId="3" fillId="8" borderId="1" xfId="0" applyFont="1" applyFill="1" applyBorder="1" applyAlignment="1">
      <alignment horizontal="center" vertical="center" wrapText="1"/>
    </xf>
    <xf numFmtId="3" fontId="2" fillId="5" borderId="1" xfId="0" applyNumberFormat="1" applyFont="1" applyFill="1" applyBorder="1" applyAlignment="1" applyProtection="1">
      <alignment horizontal="center" vertical="center" wrapText="1"/>
      <protection locked="0"/>
    </xf>
    <xf numFmtId="0" fontId="5" fillId="6" borderId="10" xfId="0" applyFont="1" applyFill="1" applyBorder="1" applyAlignment="1">
      <alignment horizontal="center" vertical="center" wrapText="1"/>
    </xf>
    <xf numFmtId="0" fontId="2" fillId="5" borderId="9" xfId="0" applyFont="1" applyFill="1" applyBorder="1" applyAlignment="1" applyProtection="1">
      <alignment horizontal="center" vertical="center" wrapText="1"/>
      <protection locked="0"/>
    </xf>
    <xf numFmtId="0" fontId="0" fillId="0" borderId="0" xfId="0" applyProtection="1">
      <protection locked="0"/>
    </xf>
    <xf numFmtId="0" fontId="2" fillId="5" borderId="1" xfId="0" applyFont="1" applyFill="1" applyBorder="1" applyAlignment="1" applyProtection="1">
      <alignment horizontal="center" vertical="center" wrapText="1"/>
      <protection locked="0"/>
    </xf>
    <xf numFmtId="0" fontId="2" fillId="5" borderId="2" xfId="0" applyFont="1" applyFill="1" applyBorder="1" applyAlignment="1" applyProtection="1">
      <alignment horizontal="center" vertical="center" wrapText="1"/>
      <protection locked="0"/>
    </xf>
    <xf numFmtId="0" fontId="5" fillId="6" borderId="17" xfId="0" applyFont="1" applyFill="1" applyBorder="1" applyAlignment="1">
      <alignment horizontal="center" vertical="center" wrapText="1"/>
    </xf>
    <xf numFmtId="0" fontId="8" fillId="7" borderId="6" xfId="0" applyFont="1" applyFill="1" applyBorder="1" applyAlignment="1">
      <alignment horizontal="center" vertical="center" wrapText="1"/>
    </xf>
    <xf numFmtId="0" fontId="8" fillId="7" borderId="3" xfId="0" applyFont="1" applyFill="1" applyBorder="1" applyAlignment="1">
      <alignment horizontal="center" vertical="center" wrapText="1"/>
    </xf>
    <xf numFmtId="0" fontId="9" fillId="6" borderId="7" xfId="0" applyFont="1" applyFill="1" applyBorder="1" applyAlignment="1">
      <alignment horizontal="left" vertical="top" wrapText="1"/>
    </xf>
    <xf numFmtId="0" fontId="9" fillId="6" borderId="1" xfId="0" applyFont="1" applyFill="1" applyBorder="1" applyAlignment="1">
      <alignment horizontal="left" vertical="top" wrapText="1"/>
    </xf>
    <xf numFmtId="0" fontId="2" fillId="6" borderId="7" xfId="0" applyFont="1" applyFill="1" applyBorder="1" applyAlignment="1">
      <alignment horizontal="center" vertical="center" wrapText="1"/>
    </xf>
    <xf numFmtId="0" fontId="2" fillId="6" borderId="8" xfId="0" applyFont="1" applyFill="1" applyBorder="1" applyAlignment="1">
      <alignment horizontal="center" vertical="center" wrapText="1"/>
    </xf>
    <xf numFmtId="0" fontId="3" fillId="4" borderId="20" xfId="0" applyFont="1" applyFill="1" applyBorder="1" applyAlignment="1">
      <alignment horizontal="left" vertical="center" wrapText="1"/>
    </xf>
    <xf numFmtId="0" fontId="2" fillId="5" borderId="20" xfId="0" applyFont="1" applyFill="1" applyBorder="1" applyAlignment="1" applyProtection="1">
      <alignment horizontal="center" vertical="center" wrapText="1"/>
      <protection locked="0"/>
    </xf>
    <xf numFmtId="164" fontId="2" fillId="0" borderId="1" xfId="0" applyNumberFormat="1" applyFont="1" applyBorder="1" applyAlignment="1" applyProtection="1">
      <alignment horizontal="center" vertical="center" wrapText="1"/>
      <protection locked="0"/>
    </xf>
    <xf numFmtId="0" fontId="8" fillId="7" borderId="1" xfId="0" applyFont="1" applyFill="1" applyBorder="1" applyAlignment="1">
      <alignment horizontal="center" vertical="center" wrapText="1"/>
    </xf>
    <xf numFmtId="165" fontId="2" fillId="5" borderId="1" xfId="0" applyNumberFormat="1" applyFont="1" applyFill="1" applyBorder="1" applyAlignment="1" applyProtection="1">
      <alignment horizontal="center" vertical="center" wrapText="1"/>
      <protection locked="0"/>
    </xf>
    <xf numFmtId="4" fontId="2" fillId="5" borderId="1" xfId="0" applyNumberFormat="1" applyFont="1" applyFill="1" applyBorder="1" applyAlignment="1" applyProtection="1">
      <alignment horizontal="right" vertical="center" wrapText="1"/>
      <protection locked="0"/>
    </xf>
    <xf numFmtId="4" fontId="2" fillId="6" borderId="1" xfId="0" applyNumberFormat="1" applyFont="1" applyFill="1" applyBorder="1" applyAlignment="1">
      <alignment horizontal="right" vertical="center" wrapText="1"/>
    </xf>
    <xf numFmtId="166" fontId="2" fillId="6" borderId="1" xfId="0" applyNumberFormat="1" applyFont="1" applyFill="1" applyBorder="1" applyAlignment="1">
      <alignment horizontal="right" vertical="center" wrapText="1"/>
    </xf>
    <xf numFmtId="4" fontId="3" fillId="10" borderId="1" xfId="0" applyNumberFormat="1" applyFont="1" applyFill="1" applyBorder="1" applyAlignment="1">
      <alignment horizontal="right" vertical="center" wrapText="1"/>
    </xf>
    <xf numFmtId="166" fontId="3" fillId="10" borderId="1" xfId="0" applyNumberFormat="1" applyFont="1" applyFill="1" applyBorder="1" applyAlignment="1">
      <alignment horizontal="right" vertical="center" wrapText="1"/>
    </xf>
    <xf numFmtId="4" fontId="3" fillId="9" borderId="1" xfId="0" applyNumberFormat="1" applyFont="1" applyFill="1" applyBorder="1" applyAlignment="1">
      <alignment horizontal="right" vertical="center" wrapText="1"/>
    </xf>
    <xf numFmtId="166" fontId="3" fillId="9" borderId="1" xfId="0" applyNumberFormat="1" applyFont="1" applyFill="1" applyBorder="1" applyAlignment="1">
      <alignment horizontal="right" vertical="center" wrapText="1"/>
    </xf>
    <xf numFmtId="4" fontId="3" fillId="12" borderId="1" xfId="0" applyNumberFormat="1" applyFont="1" applyFill="1" applyBorder="1" applyAlignment="1">
      <alignment horizontal="right" vertical="center" wrapText="1"/>
    </xf>
    <xf numFmtId="166" fontId="3" fillId="12" borderId="1" xfId="0" applyNumberFormat="1" applyFont="1" applyFill="1" applyBorder="1" applyAlignment="1">
      <alignment horizontal="right" vertical="center" wrapText="1"/>
    </xf>
    <xf numFmtId="4" fontId="3" fillId="11" borderId="1" xfId="0" applyNumberFormat="1" applyFont="1" applyFill="1" applyBorder="1" applyAlignment="1">
      <alignment horizontal="right" vertical="center" wrapText="1"/>
    </xf>
    <xf numFmtId="166" fontId="3" fillId="11" borderId="1" xfId="0" applyNumberFormat="1" applyFont="1" applyFill="1" applyBorder="1" applyAlignment="1">
      <alignment horizontal="right" vertical="center" wrapText="1"/>
    </xf>
    <xf numFmtId="4" fontId="3" fillId="13" borderId="1" xfId="0" applyNumberFormat="1" applyFont="1" applyFill="1" applyBorder="1" applyAlignment="1">
      <alignment horizontal="right" vertical="center" wrapText="1"/>
    </xf>
    <xf numFmtId="166" fontId="3" fillId="13" borderId="1" xfId="0" applyNumberFormat="1" applyFont="1" applyFill="1" applyBorder="1" applyAlignment="1">
      <alignment horizontal="right" vertical="center" wrapText="1"/>
    </xf>
    <xf numFmtId="0" fontId="3" fillId="9" borderId="1" xfId="0" applyFont="1" applyFill="1" applyBorder="1" applyAlignment="1">
      <alignment horizontal="right" vertical="center" wrapText="1"/>
    </xf>
    <xf numFmtId="166" fontId="2" fillId="5" borderId="1" xfId="0" applyNumberFormat="1" applyFont="1" applyFill="1" applyBorder="1" applyAlignment="1" applyProtection="1">
      <alignment horizontal="center" vertical="center" wrapText="1"/>
      <protection locked="0"/>
    </xf>
    <xf numFmtId="0" fontId="3" fillId="13" borderId="1" xfId="0" applyFont="1" applyFill="1" applyBorder="1" applyAlignment="1">
      <alignment horizontal="right" vertical="center" wrapText="1"/>
    </xf>
    <xf numFmtId="0" fontId="5"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165" fontId="2" fillId="6" borderId="1" xfId="0" applyNumberFormat="1" applyFont="1" applyFill="1" applyBorder="1" applyAlignment="1">
      <alignment horizontal="right" vertical="center" wrapText="1"/>
    </xf>
    <xf numFmtId="40" fontId="2" fillId="6" borderId="1" xfId="0" applyNumberFormat="1" applyFont="1" applyFill="1" applyBorder="1" applyAlignment="1">
      <alignment horizontal="right" vertical="center" wrapText="1"/>
    </xf>
    <xf numFmtId="0" fontId="3" fillId="10" borderId="1" xfId="0" applyFont="1" applyFill="1" applyBorder="1" applyAlignment="1">
      <alignment horizontal="right" vertical="center" wrapText="1"/>
    </xf>
    <xf numFmtId="40" fontId="3" fillId="10" borderId="1" xfId="0" applyNumberFormat="1" applyFont="1" applyFill="1" applyBorder="1" applyAlignment="1">
      <alignment horizontal="right" vertical="center" wrapText="1"/>
    </xf>
    <xf numFmtId="0" fontId="3" fillId="10" borderId="1" xfId="0" applyFont="1" applyFill="1" applyBorder="1" applyAlignment="1">
      <alignment horizontal="center" vertical="center" wrapText="1"/>
    </xf>
    <xf numFmtId="40" fontId="3" fillId="9" borderId="1" xfId="0" applyNumberFormat="1" applyFont="1" applyFill="1" applyBorder="1" applyAlignment="1">
      <alignment horizontal="right" vertical="center" wrapText="1"/>
    </xf>
    <xf numFmtId="0" fontId="3" fillId="12" borderId="1" xfId="0" applyFont="1" applyFill="1" applyBorder="1" applyAlignment="1">
      <alignment horizontal="right" vertical="center" wrapText="1"/>
    </xf>
    <xf numFmtId="40" fontId="3" fillId="12" borderId="1" xfId="0" applyNumberFormat="1" applyFont="1" applyFill="1" applyBorder="1" applyAlignment="1">
      <alignment horizontal="right" vertical="center" wrapText="1"/>
    </xf>
    <xf numFmtId="0" fontId="3" fillId="12" borderId="1" xfId="0" applyFont="1" applyFill="1" applyBorder="1" applyAlignment="1">
      <alignment horizontal="center" vertical="center" wrapText="1"/>
    </xf>
    <xf numFmtId="0" fontId="3" fillId="11" borderId="1" xfId="0" applyFont="1" applyFill="1" applyBorder="1" applyAlignment="1">
      <alignment horizontal="right" vertical="center" wrapText="1"/>
    </xf>
    <xf numFmtId="40" fontId="3" fillId="11" borderId="1" xfId="0" applyNumberFormat="1" applyFont="1" applyFill="1" applyBorder="1" applyAlignment="1">
      <alignment horizontal="right" vertical="center" wrapText="1"/>
    </xf>
    <xf numFmtId="40" fontId="3" fillId="13" borderId="1" xfId="0" applyNumberFormat="1" applyFont="1" applyFill="1" applyBorder="1" applyAlignment="1">
      <alignment horizontal="right" vertical="center" wrapText="1"/>
    </xf>
    <xf numFmtId="0" fontId="2" fillId="5" borderId="1" xfId="0" applyFont="1" applyFill="1" applyBorder="1" applyAlignment="1" applyProtection="1">
      <alignment horizontal="left" vertical="center" wrapText="1"/>
      <protection locked="0"/>
    </xf>
    <xf numFmtId="0" fontId="0" fillId="0" borderId="25" xfId="0" applyBorder="1" applyProtection="1">
      <protection locked="0"/>
    </xf>
    <xf numFmtId="0" fontId="0" fillId="0" borderId="26" xfId="0" applyBorder="1" applyProtection="1">
      <protection locked="0"/>
    </xf>
    <xf numFmtId="0" fontId="2" fillId="5" borderId="1" xfId="0" applyFont="1" applyFill="1" applyBorder="1" applyAlignment="1" applyProtection="1">
      <alignment horizontal="left" vertical="top" wrapText="1"/>
      <protection locked="0"/>
    </xf>
    <xf numFmtId="0" fontId="3" fillId="4" borderId="8" xfId="0" applyFont="1" applyFill="1" applyBorder="1" applyAlignment="1">
      <alignment horizontal="left" vertical="center" wrapText="1"/>
    </xf>
    <xf numFmtId="0" fontId="0" fillId="0" borderId="23" xfId="0" applyBorder="1"/>
    <xf numFmtId="0" fontId="0" fillId="0" borderId="24" xfId="0" applyBorder="1"/>
    <xf numFmtId="0" fontId="3" fillId="11" borderId="1" xfId="0" applyFont="1" applyFill="1" applyBorder="1" applyAlignment="1">
      <alignment horizontal="left" vertical="center" wrapText="1"/>
    </xf>
    <xf numFmtId="0" fontId="0" fillId="0" borderId="25" xfId="0" applyBorder="1"/>
    <xf numFmtId="0" fontId="0" fillId="0" borderId="26" xfId="0" applyBorder="1"/>
    <xf numFmtId="0" fontId="2" fillId="3" borderId="1" xfId="0" applyFont="1" applyFill="1" applyBorder="1" applyAlignment="1">
      <alignment horizontal="left" vertical="top" wrapText="1"/>
    </xf>
    <xf numFmtId="0" fontId="6" fillId="6" borderId="1" xfId="0" applyFont="1" applyFill="1" applyBorder="1" applyAlignment="1">
      <alignment horizontal="left" vertical="center" wrapText="1"/>
    </xf>
    <xf numFmtId="0" fontId="2" fillId="3" borderId="14" xfId="0" applyFont="1" applyFill="1" applyBorder="1" applyAlignment="1">
      <alignment horizontal="left" vertical="top" wrapText="1"/>
    </xf>
    <xf numFmtId="166" fontId="3" fillId="12" borderId="1" xfId="0" applyNumberFormat="1" applyFont="1" applyFill="1" applyBorder="1" applyAlignment="1">
      <alignment horizontal="right" vertical="center" wrapText="1"/>
    </xf>
    <xf numFmtId="0" fontId="3" fillId="10"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8" borderId="13" xfId="0" applyFont="1" applyFill="1" applyBorder="1" applyAlignment="1">
      <alignment horizontal="left" vertical="center" wrapText="1"/>
    </xf>
    <xf numFmtId="0" fontId="0" fillId="0" borderId="32" xfId="0" applyBorder="1"/>
    <xf numFmtId="0" fontId="0" fillId="0" borderId="33" xfId="0" applyBorder="1"/>
    <xf numFmtId="0" fontId="2" fillId="3" borderId="7" xfId="0" applyFont="1" applyFill="1" applyBorder="1" applyAlignment="1">
      <alignment horizontal="left" vertical="top" wrapText="1"/>
    </xf>
    <xf numFmtId="166" fontId="3" fillId="13" borderId="1" xfId="0" applyNumberFormat="1" applyFont="1" applyFill="1" applyBorder="1" applyAlignment="1">
      <alignment horizontal="right" vertical="center" wrapText="1"/>
    </xf>
    <xf numFmtId="0" fontId="5" fillId="3" borderId="1" xfId="0" applyFont="1" applyFill="1" applyBorder="1" applyAlignment="1">
      <alignment horizontal="left" vertical="center" wrapText="1"/>
    </xf>
    <xf numFmtId="0" fontId="3" fillId="7" borderId="6" xfId="0" applyFont="1" applyFill="1" applyBorder="1" applyAlignment="1">
      <alignment horizontal="left" vertical="center" wrapText="1"/>
    </xf>
    <xf numFmtId="0" fontId="0" fillId="0" borderId="21" xfId="0" applyBorder="1"/>
    <xf numFmtId="0" fontId="0" fillId="0" borderId="22" xfId="0" applyBorder="1"/>
    <xf numFmtId="4" fontId="3" fillId="6" borderId="1" xfId="0" applyNumberFormat="1" applyFont="1" applyFill="1" applyBorder="1" applyAlignment="1">
      <alignment horizontal="right" vertical="center" wrapText="1"/>
    </xf>
    <xf numFmtId="0" fontId="3" fillId="4" borderId="6" xfId="0" applyFont="1" applyFill="1" applyBorder="1" applyAlignment="1">
      <alignment horizontal="left" vertical="top" wrapText="1"/>
    </xf>
    <xf numFmtId="0" fontId="4" fillId="2" borderId="11" xfId="0" applyFont="1" applyFill="1" applyBorder="1" applyAlignment="1">
      <alignment horizontal="left" vertical="center" wrapText="1"/>
    </xf>
    <xf numFmtId="0" fontId="0" fillId="0" borderId="0" xfId="0"/>
    <xf numFmtId="0" fontId="0" fillId="0" borderId="29" xfId="0" applyBorder="1"/>
    <xf numFmtId="0" fontId="2" fillId="3" borderId="2" xfId="0" applyFont="1" applyFill="1" applyBorder="1" applyAlignment="1">
      <alignment horizontal="left" vertical="top" wrapText="1"/>
    </xf>
    <xf numFmtId="0" fontId="0" fillId="0" borderId="27" xfId="0" applyBorder="1"/>
    <xf numFmtId="0" fontId="0" fillId="0" borderId="28" xfId="0" applyBorder="1"/>
    <xf numFmtId="0" fontId="2" fillId="6" borderId="1" xfId="0" applyFont="1" applyFill="1" applyBorder="1" applyAlignment="1">
      <alignment horizontal="right" vertical="center" wrapText="1"/>
    </xf>
    <xf numFmtId="0" fontId="7" fillId="4" borderId="16" xfId="0" applyFont="1" applyFill="1" applyBorder="1" applyAlignment="1">
      <alignment horizontal="center" vertical="top" wrapText="1"/>
    </xf>
    <xf numFmtId="0" fontId="0" fillId="0" borderId="34" xfId="0" applyBorder="1"/>
    <xf numFmtId="0" fontId="8" fillId="7" borderId="3" xfId="0" applyFont="1" applyFill="1" applyBorder="1" applyAlignment="1">
      <alignment horizontal="left" vertical="center" wrapText="1"/>
    </xf>
    <xf numFmtId="0" fontId="2" fillId="5" borderId="2" xfId="0" applyFont="1" applyFill="1" applyBorder="1" applyAlignment="1" applyProtection="1">
      <alignment horizontal="left" vertical="center" wrapText="1"/>
      <protection locked="0"/>
    </xf>
    <xf numFmtId="0" fontId="0" fillId="0" borderId="27" xfId="0" applyBorder="1" applyProtection="1">
      <protection locked="0"/>
    </xf>
    <xf numFmtId="0" fontId="0" fillId="0" borderId="28" xfId="0" applyBorder="1" applyProtection="1">
      <protection locked="0"/>
    </xf>
    <xf numFmtId="0" fontId="2" fillId="6" borderId="1" xfId="0" applyFont="1" applyFill="1" applyBorder="1" applyAlignment="1">
      <alignment horizontal="center" vertical="center" wrapText="1"/>
    </xf>
    <xf numFmtId="166" fontId="3" fillId="10" borderId="1" xfId="0" applyNumberFormat="1" applyFont="1" applyFill="1" applyBorder="1" applyAlignment="1">
      <alignment horizontal="right" vertical="center" wrapText="1"/>
    </xf>
    <xf numFmtId="0" fontId="5" fillId="3" borderId="7" xfId="0" applyFont="1" applyFill="1" applyBorder="1" applyAlignment="1">
      <alignment horizontal="left" vertical="center" wrapText="1"/>
    </xf>
    <xf numFmtId="0" fontId="4" fillId="2" borderId="2" xfId="0" applyFont="1" applyFill="1" applyBorder="1" applyAlignment="1">
      <alignment horizontal="left" vertical="center" wrapText="1"/>
    </xf>
    <xf numFmtId="0" fontId="3" fillId="4" borderId="18" xfId="0" applyFont="1" applyFill="1" applyBorder="1" applyAlignment="1">
      <alignment horizontal="left" vertical="center" wrapText="1"/>
    </xf>
    <xf numFmtId="0" fontId="0" fillId="0" borderId="35" xfId="0" applyBorder="1"/>
    <xf numFmtId="0" fontId="3" fillId="13" borderId="1" xfId="0" applyFont="1" applyFill="1" applyBorder="1" applyAlignment="1">
      <alignment horizontal="center" vertical="center" wrapText="1"/>
    </xf>
    <xf numFmtId="3" fontId="2" fillId="5" borderId="9" xfId="0" applyNumberFormat="1" applyFont="1" applyFill="1" applyBorder="1" applyAlignment="1" applyProtection="1">
      <alignment horizontal="center" vertical="center" wrapText="1"/>
      <protection locked="0"/>
    </xf>
    <xf numFmtId="0" fontId="0" fillId="0" borderId="24" xfId="0" applyBorder="1" applyProtection="1">
      <protection locked="0"/>
    </xf>
    <xf numFmtId="3" fontId="2" fillId="5" borderId="1" xfId="0" applyNumberFormat="1" applyFont="1" applyFill="1" applyBorder="1" applyAlignment="1" applyProtection="1">
      <alignment horizontal="center" vertical="center" wrapText="1"/>
      <protection locked="0"/>
    </xf>
    <xf numFmtId="0" fontId="3" fillId="12" borderId="1" xfId="0" applyFont="1" applyFill="1" applyBorder="1" applyAlignment="1">
      <alignment horizontal="left" vertical="center" wrapText="1"/>
    </xf>
    <xf numFmtId="0" fontId="9" fillId="6" borderId="1" xfId="0" applyFont="1" applyFill="1" applyBorder="1" applyAlignment="1">
      <alignment horizontal="left" vertical="top" wrapText="1"/>
    </xf>
    <xf numFmtId="0" fontId="3" fillId="4" borderId="20" xfId="0" applyFont="1" applyFill="1" applyBorder="1" applyAlignment="1">
      <alignment horizontal="left" vertical="center" wrapText="1"/>
    </xf>
    <xf numFmtId="0" fontId="0" fillId="0" borderId="36" xfId="0" applyBorder="1"/>
    <xf numFmtId="0" fontId="0" fillId="0" borderId="37" xfId="0" applyBorder="1"/>
    <xf numFmtId="0" fontId="2" fillId="5" borderId="8" xfId="0" applyFont="1" applyFill="1" applyBorder="1" applyAlignment="1" applyProtection="1">
      <alignment horizontal="left" vertical="top" wrapText="1"/>
      <protection locked="0"/>
    </xf>
    <xf numFmtId="0" fontId="0" fillId="0" borderId="23" xfId="0" applyBorder="1" applyProtection="1">
      <protection locked="0"/>
    </xf>
    <xf numFmtId="0" fontId="8" fillId="7" borderId="1" xfId="0" applyFont="1" applyFill="1" applyBorder="1" applyAlignment="1">
      <alignment horizontal="left" vertical="center" wrapText="1"/>
    </xf>
    <xf numFmtId="49" fontId="2" fillId="5" borderId="1" xfId="0" applyNumberFormat="1" applyFont="1" applyFill="1" applyBorder="1" applyAlignment="1" applyProtection="1">
      <alignment horizontal="left" vertical="center" wrapText="1"/>
      <protection locked="0"/>
    </xf>
    <xf numFmtId="0" fontId="3" fillId="8" borderId="14" xfId="0" applyFont="1" applyFill="1" applyBorder="1" applyAlignment="1">
      <alignment horizontal="left" vertical="center" wrapText="1"/>
    </xf>
    <xf numFmtId="0" fontId="3" fillId="4" borderId="14" xfId="0" applyFont="1" applyFill="1" applyBorder="1" applyAlignment="1">
      <alignment horizontal="left" vertical="center" wrapText="1"/>
    </xf>
    <xf numFmtId="0" fontId="3" fillId="8" borderId="1" xfId="0" applyFont="1" applyFill="1" applyBorder="1" applyAlignment="1">
      <alignment horizontal="center" vertical="center" wrapText="1"/>
    </xf>
    <xf numFmtId="0" fontId="3" fillId="8" borderId="7" xfId="0" applyFont="1" applyFill="1" applyBorder="1" applyAlignment="1">
      <alignment horizontal="left" vertical="center" wrapText="1"/>
    </xf>
    <xf numFmtId="0" fontId="4" fillId="2" borderId="1" xfId="0" applyFont="1" applyFill="1" applyBorder="1" applyAlignment="1">
      <alignment horizontal="left" vertical="center" wrapText="1"/>
    </xf>
    <xf numFmtId="0" fontId="3" fillId="4" borderId="3" xfId="0" applyFont="1" applyFill="1" applyBorder="1" applyAlignment="1">
      <alignment horizontal="left" vertical="center" wrapText="1"/>
    </xf>
    <xf numFmtId="0" fontId="3" fillId="14" borderId="1" xfId="0" applyFont="1" applyFill="1" applyBorder="1" applyAlignment="1">
      <alignment horizontal="left" vertical="center" wrapText="1"/>
    </xf>
    <xf numFmtId="0" fontId="3" fillId="13" borderId="1" xfId="0" applyFont="1" applyFill="1" applyBorder="1" applyAlignment="1">
      <alignment horizontal="left" vertical="center" wrapText="1"/>
    </xf>
    <xf numFmtId="0" fontId="3" fillId="4" borderId="2" xfId="0" applyFont="1" applyFill="1" applyBorder="1" applyAlignment="1">
      <alignment horizontal="left" vertical="center" wrapText="1"/>
    </xf>
    <xf numFmtId="0" fontId="3" fillId="9" borderId="1" xfId="0" applyFont="1" applyFill="1" applyBorder="1" applyAlignment="1">
      <alignment horizontal="left" vertical="center" wrapText="1"/>
    </xf>
    <xf numFmtId="0" fontId="2" fillId="5" borderId="9" xfId="0" applyFont="1" applyFill="1" applyBorder="1" applyAlignment="1" applyProtection="1">
      <alignment horizontal="left" vertical="center" wrapText="1"/>
      <protection locked="0"/>
    </xf>
    <xf numFmtId="0" fontId="2" fillId="5" borderId="19" xfId="0" applyFont="1" applyFill="1" applyBorder="1" applyAlignment="1" applyProtection="1">
      <alignment horizontal="left" vertical="center" wrapText="1"/>
      <protection locked="0"/>
    </xf>
    <xf numFmtId="0" fontId="0" fillId="0" borderId="34" xfId="0" applyBorder="1" applyProtection="1">
      <protection locked="0"/>
    </xf>
    <xf numFmtId="0" fontId="0" fillId="0" borderId="35" xfId="0" applyBorder="1" applyProtection="1">
      <protection locked="0"/>
    </xf>
    <xf numFmtId="0" fontId="2" fillId="5" borderId="9" xfId="0" applyFont="1" applyFill="1" applyBorder="1" applyAlignment="1" applyProtection="1">
      <alignment horizontal="center" vertical="center" wrapText="1"/>
      <protection locked="0"/>
    </xf>
    <xf numFmtId="0" fontId="2" fillId="5" borderId="1" xfId="0" applyFont="1" applyFill="1" applyBorder="1" applyAlignment="1" applyProtection="1">
      <alignment horizontal="center" vertical="center" wrapText="1"/>
      <protection locked="0"/>
    </xf>
    <xf numFmtId="166" fontId="3" fillId="6" borderId="1" xfId="0" applyNumberFormat="1" applyFont="1" applyFill="1" applyBorder="1" applyAlignment="1">
      <alignment horizontal="right" vertical="center" wrapText="1"/>
    </xf>
    <xf numFmtId="0" fontId="2" fillId="5" borderId="9" xfId="0" applyFont="1" applyFill="1" applyBorder="1" applyAlignment="1" applyProtection="1">
      <alignment horizontal="left" vertical="top" wrapText="1"/>
      <protection locked="0"/>
    </xf>
    <xf numFmtId="0" fontId="8" fillId="7" borderId="1" xfId="0" applyFont="1" applyFill="1" applyBorder="1" applyAlignment="1">
      <alignment horizontal="center" vertical="center" wrapText="1"/>
    </xf>
    <xf numFmtId="0" fontId="2" fillId="5" borderId="20" xfId="0" applyFont="1" applyFill="1" applyBorder="1" applyAlignment="1" applyProtection="1">
      <alignment horizontal="center" vertical="center" wrapText="1"/>
      <protection locked="0"/>
    </xf>
    <xf numFmtId="0" fontId="0" fillId="0" borderId="37" xfId="0" applyBorder="1" applyProtection="1">
      <protection locked="0"/>
    </xf>
    <xf numFmtId="0" fontId="2" fillId="0" borderId="1" xfId="0" applyFont="1" applyBorder="1" applyAlignment="1" applyProtection="1">
      <alignment horizontal="center" vertical="center" wrapText="1"/>
      <protection locked="0"/>
    </xf>
    <xf numFmtId="0" fontId="3" fillId="4" borderId="9" xfId="0" applyFont="1" applyFill="1" applyBorder="1" applyAlignment="1">
      <alignment horizontal="left" vertical="center" wrapText="1"/>
    </xf>
    <xf numFmtId="0" fontId="2" fillId="5" borderId="18" xfId="0" applyFont="1" applyFill="1" applyBorder="1" applyAlignment="1" applyProtection="1">
      <alignment horizontal="left" vertical="top" wrapText="1"/>
      <protection locked="0"/>
    </xf>
    <xf numFmtId="166" fontId="3" fillId="9" borderId="1" xfId="0" applyNumberFormat="1" applyFont="1" applyFill="1" applyBorder="1" applyAlignment="1">
      <alignment horizontal="right" vertical="center" wrapText="1"/>
    </xf>
    <xf numFmtId="0" fontId="3" fillId="4" borderId="7" xfId="0" applyFont="1" applyFill="1" applyBorder="1" applyAlignment="1">
      <alignment horizontal="left" vertical="center" wrapText="1"/>
    </xf>
    <xf numFmtId="0" fontId="2" fillId="3" borderId="12" xfId="0" applyFont="1" applyFill="1" applyBorder="1" applyAlignment="1">
      <alignment horizontal="left" vertical="top" wrapText="1"/>
    </xf>
    <xf numFmtId="0" fontId="0" fillId="0" borderId="30" xfId="0" applyBorder="1"/>
    <xf numFmtId="0" fontId="0" fillId="0" borderId="31" xfId="0" applyBorder="1"/>
    <xf numFmtId="0" fontId="3" fillId="4" borderId="15" xfId="0" applyFont="1" applyFill="1" applyBorder="1" applyAlignment="1">
      <alignment horizontal="left" vertical="center" wrapText="1"/>
    </xf>
    <xf numFmtId="166" fontId="3" fillId="11" borderId="1" xfId="0" applyNumberFormat="1" applyFont="1" applyFill="1" applyBorder="1" applyAlignment="1">
      <alignment horizontal="right" vertical="center" wrapText="1"/>
    </xf>
    <xf numFmtId="4" fontId="2" fillId="5" borderId="2" xfId="0" applyNumberFormat="1" applyFont="1" applyFill="1" applyBorder="1" applyAlignment="1" applyProtection="1">
      <alignment horizontal="right" vertical="center" wrapText="1"/>
      <protection locked="0"/>
    </xf>
    <xf numFmtId="0" fontId="2" fillId="5" borderId="5" xfId="0" applyFont="1" applyFill="1" applyBorder="1" applyAlignment="1" applyProtection="1">
      <alignment horizontal="center" vertical="center" wrapText="1"/>
      <protection locked="0"/>
    </xf>
    <xf numFmtId="0" fontId="1" fillId="2" borderId="1" xfId="0" applyFont="1" applyFill="1" applyBorder="1" applyAlignment="1">
      <alignment horizontal="center" vertical="center" wrapText="1"/>
    </xf>
    <xf numFmtId="0" fontId="2" fillId="3" borderId="13" xfId="0" applyFont="1" applyFill="1" applyBorder="1" applyAlignment="1">
      <alignment horizontal="left" vertical="top" wrapText="1"/>
    </xf>
    <xf numFmtId="0" fontId="2" fillId="5" borderId="17" xfId="0" applyFont="1" applyFill="1" applyBorder="1" applyAlignment="1" applyProtection="1">
      <alignment horizontal="center" vertical="center" wrapText="1"/>
      <protection locked="0"/>
    </xf>
    <xf numFmtId="0" fontId="0" fillId="0" borderId="40" xfId="0" applyBorder="1" applyProtection="1">
      <protection locked="0"/>
    </xf>
    <xf numFmtId="0" fontId="3" fillId="8" borderId="1" xfId="0" applyFont="1" applyFill="1" applyBorder="1" applyAlignment="1">
      <alignment horizontal="left" vertical="center" wrapText="1"/>
    </xf>
    <xf numFmtId="3" fontId="2" fillId="5" borderId="19" xfId="0" applyNumberFormat="1" applyFont="1" applyFill="1" applyBorder="1" applyAlignment="1" applyProtection="1">
      <alignment horizontal="center" vertical="center" wrapText="1"/>
      <protection locked="0"/>
    </xf>
    <xf numFmtId="0" fontId="2" fillId="3" borderId="3" xfId="0" applyFont="1" applyFill="1" applyBorder="1" applyAlignment="1">
      <alignment horizontal="left" vertical="top" wrapText="1"/>
    </xf>
    <xf numFmtId="0" fontId="0" fillId="0" borderId="38" xfId="0" applyBorder="1"/>
    <xf numFmtId="0" fontId="0" fillId="0" borderId="39" xfId="0" applyBorder="1"/>
    <xf numFmtId="0" fontId="0" fillId="0" borderId="41" xfId="0" applyBorder="1"/>
    <xf numFmtId="0" fontId="2" fillId="5" borderId="4" xfId="0" applyFont="1" applyFill="1" applyBorder="1" applyAlignment="1" applyProtection="1">
      <alignment horizontal="center" vertical="center" wrapText="1"/>
      <protection locked="0"/>
    </xf>
    <xf numFmtId="0" fontId="0" fillId="0" borderId="21" xfId="0" applyBorder="1" applyProtection="1">
      <protection locked="0"/>
    </xf>
    <xf numFmtId="166" fontId="2" fillId="6" borderId="1" xfId="0" applyNumberFormat="1" applyFont="1" applyFill="1" applyBorder="1" applyAlignment="1">
      <alignment horizontal="right" vertical="center" wrapText="1"/>
    </xf>
    <xf numFmtId="0" fontId="2" fillId="6"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10" fillId="3" borderId="1" xfId="0" applyFont="1" applyFill="1" applyBorder="1" applyAlignment="1">
      <alignment horizontal="left" vertical="top" wrapText="1"/>
    </xf>
    <xf numFmtId="0" fontId="3" fillId="13" borderId="1" xfId="0" applyFont="1" applyFill="1" applyBorder="1" applyAlignment="1">
      <alignment horizontal="right" vertical="center" wrapText="1"/>
    </xf>
    <xf numFmtId="0" fontId="3" fillId="7" borderId="1" xfId="0" applyFont="1" applyFill="1" applyBorder="1" applyAlignment="1">
      <alignment horizontal="center" vertical="center" wrapText="1"/>
    </xf>
    <xf numFmtId="4" fontId="2" fillId="5" borderId="1" xfId="0" applyNumberFormat="1" applyFont="1" applyFill="1" applyBorder="1" applyAlignment="1" applyProtection="1">
      <alignment horizontal="right" vertical="center" wrapText="1"/>
      <protection locked="0"/>
    </xf>
    <xf numFmtId="4" fontId="2" fillId="6" borderId="1" xfId="0" applyNumberFormat="1" applyFont="1" applyFill="1" applyBorder="1" applyAlignment="1">
      <alignment horizontal="right" vertical="center" wrapText="1"/>
    </xf>
    <xf numFmtId="3" fontId="2" fillId="6" borderId="1" xfId="0" applyNumberFormat="1" applyFont="1" applyFill="1" applyBorder="1" applyAlignment="1">
      <alignment horizontal="right" vertical="center" wrapText="1"/>
    </xf>
    <xf numFmtId="4" fontId="3" fillId="15" borderId="1" xfId="0" applyNumberFormat="1" applyFont="1" applyFill="1" applyBorder="1" applyAlignment="1">
      <alignment horizontal="right" vertical="center" wrapText="1"/>
    </xf>
    <xf numFmtId="4" fontId="3" fillId="13" borderId="1" xfId="0" applyNumberFormat="1" applyFont="1" applyFill="1" applyBorder="1" applyAlignment="1">
      <alignment horizontal="right" vertical="center" wrapText="1"/>
    </xf>
    <xf numFmtId="0" fontId="3" fillId="15" borderId="1" xfId="0" applyFont="1" applyFill="1" applyBorder="1" applyAlignment="1">
      <alignment horizontal="left" vertical="center" wrapText="1"/>
    </xf>
    <xf numFmtId="3" fontId="2" fillId="6" borderId="1" xfId="0" applyNumberFormat="1" applyFont="1" applyFill="1" applyBorder="1" applyAlignment="1">
      <alignment horizontal="center" vertical="center" wrapText="1"/>
    </xf>
  </cellXfs>
  <cellStyles count="1">
    <cellStyle name="Normal" xfId="0" builtinId="0"/>
  </cellStyles>
  <dxfs count="9">
    <dxf>
      <fill>
        <patternFill>
          <bgColor rgb="FFF8D7DA"/>
        </patternFill>
      </fill>
    </dxf>
    <dxf>
      <fill>
        <patternFill>
          <bgColor rgb="FFF8D7DA"/>
        </patternFill>
      </fill>
    </dxf>
    <dxf>
      <fill>
        <patternFill>
          <bgColor rgb="FFF8D7DA"/>
        </patternFill>
      </fill>
    </dxf>
    <dxf>
      <fill>
        <patternFill>
          <bgColor rgb="FFF8D7DA"/>
        </patternFill>
      </fill>
    </dxf>
    <dxf>
      <fill>
        <patternFill>
          <bgColor rgb="FFF8D7DA"/>
        </patternFill>
      </fill>
    </dxf>
    <dxf>
      <fill>
        <patternFill>
          <bgColor rgb="FFF8D7DA"/>
        </patternFill>
      </fill>
    </dxf>
    <dxf>
      <fill>
        <patternFill>
          <bgColor rgb="FFF8D7DA"/>
        </patternFill>
      </fill>
    </dxf>
    <dxf>
      <fill>
        <patternFill>
          <bgColor rgb="FFF8D7DA"/>
        </patternFill>
      </fill>
    </dxf>
    <dxf>
      <fill>
        <patternFill>
          <bgColor rgb="FFF8D7DA"/>
        </patternFill>
      </fill>
    </dxf>
  </dxfs>
  <tableStyles count="0" defaultTableStyle="TableStyleMedium2" defaultPivotStyle="PivotStyleLight16"/>
  <colors>
    <indexedColors>
      <rgbColor rgb="FF000000"/>
      <rgbColor rgb="FFFFFFFF"/>
      <rgbColor rgb="FFFF0000"/>
      <rgbColor rgb="FF00FF00"/>
      <rgbColor rgb="FF0000FF"/>
      <rgbColor rgb="FFFFFAEB"/>
      <rgbColor rgb="FFFF00FF"/>
      <rgbColor rgb="FF00FFFF"/>
      <rgbColor rgb="FF800000"/>
      <rgbColor rgb="FF008000"/>
      <rgbColor rgb="FF000080"/>
      <rgbColor rgb="FF808000"/>
      <rgbColor rgb="FF800080"/>
      <rgbColor rgb="FF008080"/>
      <rgbColor rgb="FFF8D7DA"/>
      <rgbColor rgb="FF808080"/>
      <rgbColor rgb="FFF5F8FC"/>
      <rgbColor rgb="FF993366"/>
      <rgbColor rgb="FFFFF7E0"/>
      <rgbColor rgb="FFEAF0F8"/>
      <rgbColor rgb="FF660066"/>
      <rgbColor rgb="FFFF8080"/>
      <rgbColor rgb="FF0066CC"/>
      <rgbColor rgb="FFDCE6F1"/>
      <rgbColor rgb="FF000080"/>
      <rgbColor rgb="FFFF00FF"/>
      <rgbColor rgb="FFFFFBEE"/>
      <rgbColor rgb="FF00FFFF"/>
      <rgbColor rgb="FF800080"/>
      <rgbColor rgb="FF800000"/>
      <rgbColor rgb="FF008080"/>
      <rgbColor rgb="FF0000FF"/>
      <rgbColor rgb="FF00CCFF"/>
      <rgbColor rgb="FFF0F4FA"/>
      <rgbColor rgb="FFD7E4BD"/>
      <rgbColor rgb="FFFFF0C2"/>
      <rgbColor rgb="FFF2F2F2"/>
      <rgbColor rgb="FFFDEBDD"/>
      <rgbColor rgb="FFF1F5E7"/>
      <rgbColor rgb="FFFFE69F"/>
      <rgbColor rgb="FF3366FF"/>
      <rgbColor rgb="FF33CCCC"/>
      <rgbColor rgb="FF99CC00"/>
      <rgbColor rgb="FFFFCC00"/>
      <rgbColor rgb="FFFF9900"/>
      <rgbColor rgb="FFFF6600"/>
      <rgbColor rgb="FF666699"/>
      <rgbColor rgb="FF969696"/>
      <rgbColor rgb="FF17375E"/>
      <rgbColor rgb="FF339966"/>
      <rgbColor rgb="FF003300"/>
      <rgbColor rgb="FF333300"/>
      <rgbColor rgb="FF993300"/>
      <rgbColor rgb="FF993366"/>
      <rgbColor rgb="FF333399"/>
      <rgbColor rgb="FF25406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192"/>
  <sheetViews>
    <sheetView zoomScale="115" zoomScaleNormal="115" workbookViewId="0">
      <selection activeCell="M1" sqref="M1"/>
    </sheetView>
  </sheetViews>
  <sheetFormatPr defaultColWidth="8.42578125" defaultRowHeight="15" x14ac:dyDescent="0.25"/>
  <cols>
    <col min="1" max="1" width="5" customWidth="1"/>
    <col min="2" max="2" width="24" customWidth="1"/>
    <col min="3" max="3" width="13" customWidth="1"/>
    <col min="4" max="4" width="9" customWidth="1"/>
    <col min="5" max="5" width="13" customWidth="1"/>
    <col min="6" max="6" width="10" customWidth="1"/>
    <col min="7" max="7" width="13" customWidth="1"/>
    <col min="8" max="8" width="15" customWidth="1"/>
    <col min="9" max="9" width="13" customWidth="1"/>
    <col min="10" max="10" width="9" customWidth="1"/>
    <col min="11" max="11" width="16" customWidth="1"/>
    <col min="12" max="12" width="11" customWidth="1"/>
    <col min="13" max="15" width="13" customWidth="1"/>
  </cols>
  <sheetData>
    <row r="1" spans="1:12" ht="49.5" customHeight="1" x14ac:dyDescent="0.25">
      <c r="A1" s="145" t="s">
        <v>0</v>
      </c>
      <c r="B1" s="61"/>
      <c r="C1" s="61"/>
      <c r="D1" s="61"/>
      <c r="E1" s="61"/>
      <c r="F1" s="61"/>
      <c r="G1" s="61"/>
      <c r="H1" s="61"/>
      <c r="I1" s="61"/>
      <c r="J1" s="61"/>
      <c r="K1" s="61"/>
      <c r="L1" s="62"/>
    </row>
    <row r="2" spans="1:12" ht="162" customHeight="1" x14ac:dyDescent="0.25">
      <c r="A2" s="63" t="s">
        <v>1</v>
      </c>
      <c r="B2" s="61"/>
      <c r="C2" s="61"/>
      <c r="D2" s="61"/>
      <c r="E2" s="61"/>
      <c r="F2" s="61"/>
      <c r="G2" s="61"/>
      <c r="H2" s="61"/>
      <c r="I2" s="61"/>
      <c r="J2" s="61"/>
      <c r="K2" s="61"/>
      <c r="L2" s="62"/>
    </row>
    <row r="3" spans="1:12" ht="63" customHeight="1" x14ac:dyDescent="0.25">
      <c r="A3" s="68" t="s">
        <v>2</v>
      </c>
      <c r="B3" s="62"/>
      <c r="C3" s="53" t="s">
        <v>3</v>
      </c>
      <c r="D3" s="54"/>
      <c r="E3" s="54"/>
      <c r="F3" s="55"/>
      <c r="G3" s="68" t="s">
        <v>4</v>
      </c>
      <c r="H3" s="62"/>
      <c r="I3" s="78"/>
      <c r="J3" s="61"/>
      <c r="K3" s="61"/>
      <c r="L3" s="62"/>
    </row>
    <row r="4" spans="1:12" ht="58.5" customHeight="1" x14ac:dyDescent="0.25">
      <c r="A4" s="68" t="s">
        <v>5</v>
      </c>
      <c r="B4" s="62"/>
      <c r="C4" s="53" t="s">
        <v>6</v>
      </c>
      <c r="D4" s="54"/>
      <c r="E4" s="54"/>
      <c r="F4" s="55"/>
      <c r="G4" s="68" t="s">
        <v>7</v>
      </c>
      <c r="H4" s="62"/>
      <c r="I4" s="53" t="s">
        <v>8</v>
      </c>
      <c r="J4" s="54"/>
      <c r="K4" s="54"/>
      <c r="L4" s="55"/>
    </row>
    <row r="5" spans="1:12" ht="56.25" customHeight="1" x14ac:dyDescent="0.25">
      <c r="A5" s="68" t="s">
        <v>9</v>
      </c>
      <c r="B5" s="62"/>
      <c r="C5" s="111" t="s">
        <v>10</v>
      </c>
      <c r="D5" s="54"/>
      <c r="E5" s="54"/>
      <c r="F5" s="55"/>
      <c r="G5" s="68" t="s">
        <v>11</v>
      </c>
      <c r="H5" s="62"/>
      <c r="I5" s="111" t="s">
        <v>12</v>
      </c>
      <c r="J5" s="54"/>
      <c r="K5" s="54"/>
      <c r="L5" s="55"/>
    </row>
    <row r="6" spans="1:12" ht="40.5" customHeight="1" x14ac:dyDescent="0.25">
      <c r="A6" s="116" t="s">
        <v>13</v>
      </c>
      <c r="B6" s="61"/>
      <c r="C6" s="61"/>
      <c r="D6" s="61"/>
      <c r="E6" s="61"/>
      <c r="F6" s="61"/>
      <c r="G6" s="61"/>
      <c r="H6" s="61"/>
      <c r="I6" s="61"/>
      <c r="J6" s="61"/>
      <c r="K6" s="61"/>
      <c r="L6" s="62"/>
    </row>
    <row r="7" spans="1:12" ht="31.5" customHeight="1" x14ac:dyDescent="0.25">
      <c r="A7" s="68" t="s">
        <v>14</v>
      </c>
      <c r="B7" s="61"/>
      <c r="C7" s="61"/>
      <c r="D7" s="61"/>
      <c r="E7" s="61"/>
      <c r="F7" s="62"/>
      <c r="G7" s="78">
        <f>H157</f>
        <v>36970</v>
      </c>
      <c r="H7" s="61"/>
      <c r="I7" s="61"/>
      <c r="J7" s="61"/>
      <c r="K7" s="61"/>
      <c r="L7" s="62"/>
    </row>
    <row r="8" spans="1:12" ht="31.5" customHeight="1" x14ac:dyDescent="0.25">
      <c r="A8" s="68" t="s">
        <v>15</v>
      </c>
      <c r="B8" s="61"/>
      <c r="C8" s="61"/>
      <c r="D8" s="61"/>
      <c r="E8" s="61"/>
      <c r="F8" s="62"/>
      <c r="G8" s="78">
        <f>I157</f>
        <v>461974.85817109438</v>
      </c>
      <c r="H8" s="61"/>
      <c r="I8" s="61"/>
      <c r="J8" s="61"/>
      <c r="K8" s="61"/>
      <c r="L8" s="62"/>
    </row>
    <row r="9" spans="1:12" ht="46.5" customHeight="1" x14ac:dyDescent="0.25">
      <c r="A9" s="68" t="s">
        <v>16</v>
      </c>
      <c r="B9" s="61"/>
      <c r="C9" s="61"/>
      <c r="D9" s="61"/>
      <c r="E9" s="61"/>
      <c r="F9" s="62"/>
      <c r="G9" s="78">
        <f>I173</f>
        <v>475834.10391622724</v>
      </c>
      <c r="H9" s="61"/>
      <c r="I9" s="61"/>
      <c r="J9" s="61"/>
      <c r="K9" s="61"/>
      <c r="L9" s="62"/>
    </row>
    <row r="10" spans="1:12" ht="34.5" customHeight="1" x14ac:dyDescent="0.25">
      <c r="A10" s="116" t="s">
        <v>17</v>
      </c>
      <c r="B10" s="61"/>
      <c r="C10" s="61"/>
      <c r="D10" s="61"/>
      <c r="E10" s="61"/>
      <c r="F10" s="61"/>
      <c r="G10" s="61"/>
      <c r="H10" s="61"/>
      <c r="I10" s="61"/>
      <c r="J10" s="61"/>
      <c r="K10" s="61"/>
      <c r="L10" s="62"/>
    </row>
    <row r="11" spans="1:12" ht="31.5" customHeight="1" x14ac:dyDescent="0.25">
      <c r="A11" s="68" t="s">
        <v>14</v>
      </c>
      <c r="B11" s="61"/>
      <c r="C11" s="61"/>
      <c r="D11" s="61"/>
      <c r="E11" s="61"/>
      <c r="F11" s="62"/>
      <c r="G11" s="78">
        <f>H168</f>
        <v>5000</v>
      </c>
      <c r="H11" s="61"/>
      <c r="I11" s="61"/>
      <c r="J11" s="61"/>
      <c r="K11" s="61"/>
      <c r="L11" s="62"/>
    </row>
    <row r="12" spans="1:12" ht="31.5" customHeight="1" x14ac:dyDescent="0.25">
      <c r="A12" s="68" t="s">
        <v>15</v>
      </c>
      <c r="B12" s="61"/>
      <c r="C12" s="61"/>
      <c r="D12" s="61"/>
      <c r="E12" s="61"/>
      <c r="F12" s="62"/>
      <c r="G12" s="78">
        <f>IF($I$93=0,"",H168/$I$93)</f>
        <v>62479.694099417691</v>
      </c>
      <c r="H12" s="61"/>
      <c r="I12" s="61"/>
      <c r="J12" s="61"/>
      <c r="K12" s="61"/>
      <c r="L12" s="62"/>
    </row>
    <row r="13" spans="1:12" ht="36" customHeight="1" x14ac:dyDescent="0.25">
      <c r="A13" s="116" t="s">
        <v>18</v>
      </c>
      <c r="B13" s="61"/>
      <c r="C13" s="61"/>
      <c r="D13" s="61"/>
      <c r="E13" s="61"/>
      <c r="F13" s="61"/>
      <c r="G13" s="61"/>
      <c r="H13" s="61"/>
      <c r="I13" s="61"/>
      <c r="J13" s="61"/>
      <c r="K13" s="61"/>
      <c r="L13" s="62"/>
    </row>
    <row r="14" spans="1:12" ht="31.5" customHeight="1" x14ac:dyDescent="0.25">
      <c r="A14" s="68" t="s">
        <v>14</v>
      </c>
      <c r="B14" s="61"/>
      <c r="C14" s="61"/>
      <c r="D14" s="61"/>
      <c r="E14" s="61"/>
      <c r="F14" s="62"/>
      <c r="G14" s="78">
        <f>H157+H168</f>
        <v>41970</v>
      </c>
      <c r="H14" s="61"/>
      <c r="I14" s="61"/>
      <c r="J14" s="61"/>
      <c r="K14" s="61"/>
      <c r="L14" s="62"/>
    </row>
    <row r="15" spans="1:12" ht="31.5" customHeight="1" x14ac:dyDescent="0.25">
      <c r="A15" s="68" t="s">
        <v>15</v>
      </c>
      <c r="B15" s="61"/>
      <c r="C15" s="61"/>
      <c r="D15" s="61"/>
      <c r="E15" s="61"/>
      <c r="F15" s="62"/>
      <c r="G15" s="78">
        <f>IF($I$93=0,"",(H157+H168)/$I$93)</f>
        <v>524454.5522705121</v>
      </c>
      <c r="H15" s="61"/>
      <c r="I15" s="61"/>
      <c r="J15" s="61"/>
      <c r="K15" s="61"/>
      <c r="L15" s="62"/>
    </row>
    <row r="16" spans="1:12" ht="31.5" customHeight="1" x14ac:dyDescent="0.25">
      <c r="A16" s="68" t="s">
        <v>19</v>
      </c>
      <c r="B16" s="61"/>
      <c r="C16" s="61"/>
      <c r="D16" s="61"/>
      <c r="E16" s="61"/>
      <c r="F16" s="62"/>
      <c r="G16" s="128">
        <f>IF((H157+H168)=0,"",H168/(H157+H168))</f>
        <v>0.11913271384322136</v>
      </c>
      <c r="H16" s="61"/>
      <c r="I16" s="61"/>
      <c r="J16" s="61"/>
      <c r="K16" s="61"/>
      <c r="L16" s="62"/>
    </row>
    <row r="17" spans="1:12" ht="36.75" customHeight="1" x14ac:dyDescent="0.25">
      <c r="A17" s="116" t="s">
        <v>20</v>
      </c>
      <c r="B17" s="61"/>
      <c r="C17" s="61"/>
      <c r="D17" s="61"/>
      <c r="E17" s="61"/>
      <c r="F17" s="61"/>
      <c r="G17" s="61"/>
      <c r="H17" s="61"/>
      <c r="I17" s="61"/>
      <c r="J17" s="61"/>
      <c r="K17" s="61"/>
      <c r="L17" s="62"/>
    </row>
    <row r="18" spans="1:12" ht="31.5" customHeight="1" x14ac:dyDescent="0.25">
      <c r="A18" s="68" t="s">
        <v>21</v>
      </c>
      <c r="B18" s="61"/>
      <c r="C18" s="61"/>
      <c r="D18" s="62"/>
      <c r="E18" s="53" t="s">
        <v>22</v>
      </c>
      <c r="F18" s="54"/>
      <c r="G18" s="54"/>
      <c r="H18" s="54"/>
      <c r="I18" s="54"/>
      <c r="J18" s="54"/>
      <c r="K18" s="54"/>
      <c r="L18" s="55"/>
    </row>
    <row r="19" spans="1:12" ht="31.5" customHeight="1" x14ac:dyDescent="0.25">
      <c r="A19" s="68" t="s">
        <v>23</v>
      </c>
      <c r="B19" s="61"/>
      <c r="C19" s="61"/>
      <c r="D19" s="62"/>
      <c r="E19" s="53" t="s">
        <v>24</v>
      </c>
      <c r="F19" s="54"/>
      <c r="G19" s="54"/>
      <c r="H19" s="54"/>
      <c r="I19" s="54"/>
      <c r="J19" s="54"/>
      <c r="K19" s="54"/>
      <c r="L19" s="55"/>
    </row>
    <row r="20" spans="1:12" ht="31.5" customHeight="1" x14ac:dyDescent="0.25">
      <c r="A20" s="68" t="s">
        <v>25</v>
      </c>
      <c r="B20" s="61"/>
      <c r="C20" s="61"/>
      <c r="D20" s="62"/>
      <c r="E20" s="53" t="s">
        <v>26</v>
      </c>
      <c r="F20" s="54"/>
      <c r="G20" s="54"/>
      <c r="H20" s="54"/>
      <c r="I20" s="54"/>
      <c r="J20" s="54"/>
      <c r="K20" s="54"/>
      <c r="L20" s="55"/>
    </row>
    <row r="21" spans="1:12" ht="31.5" customHeight="1" x14ac:dyDescent="0.25">
      <c r="A21" s="120" t="s">
        <v>27</v>
      </c>
      <c r="B21" s="84"/>
      <c r="C21" s="84"/>
      <c r="D21" s="85"/>
      <c r="E21" s="90" t="s">
        <v>28</v>
      </c>
      <c r="F21" s="91"/>
      <c r="G21" s="91"/>
      <c r="H21" s="91"/>
      <c r="I21" s="91"/>
      <c r="J21" s="91"/>
      <c r="K21" s="91"/>
      <c r="L21" s="92"/>
    </row>
    <row r="22" spans="1:12" ht="44.45" customHeight="1" x14ac:dyDescent="0.25">
      <c r="A22" s="117" t="s">
        <v>29</v>
      </c>
      <c r="B22" s="76"/>
      <c r="C22" s="76"/>
      <c r="D22" s="77"/>
      <c r="E22" s="155" t="s">
        <v>30</v>
      </c>
      <c r="F22" s="156"/>
      <c r="G22" s="156"/>
      <c r="H22" s="151" t="s">
        <v>31</v>
      </c>
      <c r="I22" s="152"/>
      <c r="J22" s="152"/>
      <c r="K22" s="152"/>
      <c r="L22" s="153"/>
    </row>
    <row r="23" spans="1:12" ht="30.95" customHeight="1" x14ac:dyDescent="0.25">
      <c r="A23" s="68" t="s">
        <v>32</v>
      </c>
      <c r="B23" s="61"/>
      <c r="C23" s="61"/>
      <c r="D23" s="62"/>
      <c r="E23" s="144" t="s">
        <v>30</v>
      </c>
      <c r="F23" s="54"/>
      <c r="G23" s="54"/>
      <c r="H23" s="154"/>
      <c r="I23" s="106"/>
      <c r="J23" s="106"/>
      <c r="K23" s="106"/>
      <c r="L23" s="107"/>
    </row>
    <row r="24" spans="1:12" ht="36" customHeight="1" x14ac:dyDescent="0.25">
      <c r="A24" s="96" t="s">
        <v>33</v>
      </c>
      <c r="B24" s="84"/>
      <c r="C24" s="84"/>
      <c r="D24" s="84"/>
      <c r="E24" s="84"/>
      <c r="F24" s="84"/>
      <c r="G24" s="84"/>
      <c r="H24" s="84"/>
      <c r="I24" s="84"/>
      <c r="J24" s="84"/>
      <c r="K24" s="84"/>
      <c r="L24" s="85"/>
    </row>
    <row r="25" spans="1:12" ht="31.5" customHeight="1" x14ac:dyDescent="0.25">
      <c r="A25" s="75" t="s">
        <v>34</v>
      </c>
      <c r="B25" s="76"/>
      <c r="C25" s="76"/>
      <c r="D25" s="76"/>
      <c r="E25" s="76"/>
      <c r="F25" s="76"/>
      <c r="G25" s="76"/>
      <c r="H25" s="76"/>
      <c r="I25" s="76"/>
      <c r="J25" s="76"/>
      <c r="K25" s="76"/>
      <c r="L25" s="77"/>
    </row>
    <row r="26" spans="1:12" ht="31.5" customHeight="1" x14ac:dyDescent="0.25">
      <c r="A26" s="72" t="s">
        <v>35</v>
      </c>
      <c r="B26" s="61"/>
      <c r="C26" s="61"/>
      <c r="D26" s="61"/>
      <c r="E26" s="61"/>
      <c r="F26" s="61"/>
      <c r="G26" s="61"/>
      <c r="H26" s="61"/>
      <c r="I26" s="61"/>
      <c r="J26" s="61"/>
      <c r="K26" s="61"/>
      <c r="L26" s="62"/>
    </row>
    <row r="27" spans="1:12" ht="44.45" customHeight="1" x14ac:dyDescent="0.25">
      <c r="A27" s="115" t="s">
        <v>36</v>
      </c>
      <c r="B27" s="61"/>
      <c r="C27" s="61"/>
      <c r="D27" s="62"/>
      <c r="E27" s="114" t="s">
        <v>37</v>
      </c>
      <c r="F27" s="62"/>
      <c r="G27" s="149" t="s">
        <v>38</v>
      </c>
      <c r="H27" s="61"/>
      <c r="I27" s="61"/>
      <c r="J27" s="61"/>
      <c r="K27" s="61"/>
      <c r="L27" s="62"/>
    </row>
    <row r="28" spans="1:12" ht="57.95" customHeight="1" x14ac:dyDescent="0.25">
      <c r="A28" s="137" t="s">
        <v>39</v>
      </c>
      <c r="B28" s="61"/>
      <c r="C28" s="61"/>
      <c r="D28" s="62"/>
      <c r="E28" s="102">
        <v>15</v>
      </c>
      <c r="F28" s="55"/>
      <c r="G28" s="53" t="s">
        <v>40</v>
      </c>
      <c r="H28" s="54"/>
      <c r="I28" s="54"/>
      <c r="J28" s="54"/>
      <c r="K28" s="54"/>
      <c r="L28" s="55"/>
    </row>
    <row r="29" spans="1:12" ht="57.95" customHeight="1" x14ac:dyDescent="0.25">
      <c r="A29" s="57" t="s">
        <v>41</v>
      </c>
      <c r="B29" s="58"/>
      <c r="C29" s="58"/>
      <c r="D29" s="59"/>
      <c r="E29" s="100">
        <v>5000</v>
      </c>
      <c r="F29" s="101"/>
      <c r="G29" s="122" t="s">
        <v>42</v>
      </c>
      <c r="H29" s="109"/>
      <c r="I29" s="109"/>
      <c r="J29" s="109"/>
      <c r="K29" s="109"/>
      <c r="L29" s="101"/>
    </row>
    <row r="30" spans="1:12" ht="31.5" customHeight="1" x14ac:dyDescent="0.25">
      <c r="A30" s="75" t="s">
        <v>43</v>
      </c>
      <c r="B30" s="76"/>
      <c r="C30" s="76"/>
      <c r="D30" s="76"/>
      <c r="E30" s="76"/>
      <c r="F30" s="76"/>
      <c r="G30" s="76"/>
      <c r="H30" s="76"/>
      <c r="I30" s="76"/>
      <c r="J30" s="76"/>
      <c r="K30" s="76"/>
      <c r="L30" s="77"/>
    </row>
    <row r="31" spans="1:12" ht="31.5" customHeight="1" x14ac:dyDescent="0.25">
      <c r="A31" s="72" t="s">
        <v>44</v>
      </c>
      <c r="B31" s="61"/>
      <c r="C31" s="61"/>
      <c r="D31" s="61"/>
      <c r="E31" s="61"/>
      <c r="F31" s="61"/>
      <c r="G31" s="61"/>
      <c r="H31" s="61"/>
      <c r="I31" s="61"/>
      <c r="J31" s="61"/>
      <c r="K31" s="61"/>
      <c r="L31" s="62"/>
    </row>
    <row r="32" spans="1:12" ht="98.45" customHeight="1" x14ac:dyDescent="0.25">
      <c r="A32" s="108" t="s">
        <v>45</v>
      </c>
      <c r="B32" s="109"/>
      <c r="C32" s="109"/>
      <c r="D32" s="109"/>
      <c r="E32" s="109"/>
      <c r="F32" s="109"/>
      <c r="G32" s="109"/>
      <c r="H32" s="109"/>
      <c r="I32" s="109"/>
      <c r="J32" s="109"/>
      <c r="K32" s="101"/>
      <c r="L32" s="6" t="str">
        <f>LEN(A32)&amp;" / 1000"</f>
        <v>775 / 1000</v>
      </c>
    </row>
    <row r="33" spans="1:15" ht="31.5" customHeight="1" x14ac:dyDescent="0.25">
      <c r="A33" s="75" t="s">
        <v>46</v>
      </c>
      <c r="B33" s="76"/>
      <c r="C33" s="76"/>
      <c r="D33" s="76"/>
      <c r="E33" s="76"/>
      <c r="F33" s="76"/>
      <c r="G33" s="76"/>
      <c r="H33" s="76"/>
      <c r="I33" s="76"/>
      <c r="J33" s="76"/>
      <c r="K33" s="76"/>
      <c r="L33" s="77"/>
    </row>
    <row r="34" spans="1:15" ht="30.95" customHeight="1" x14ac:dyDescent="0.25">
      <c r="A34" s="72" t="s">
        <v>47</v>
      </c>
      <c r="B34" s="61"/>
      <c r="C34" s="61"/>
      <c r="D34" s="61"/>
      <c r="E34" s="61"/>
      <c r="F34" s="61"/>
      <c r="G34" s="61"/>
      <c r="H34" s="61"/>
      <c r="I34" s="61"/>
      <c r="J34" s="61"/>
      <c r="K34" s="61"/>
      <c r="L34" s="62"/>
    </row>
    <row r="35" spans="1:15" ht="57.95" customHeight="1" x14ac:dyDescent="0.25">
      <c r="A35" s="57" t="s">
        <v>48</v>
      </c>
      <c r="B35" s="58"/>
      <c r="C35" s="58"/>
      <c r="D35" s="59"/>
      <c r="E35" s="100" t="s">
        <v>49</v>
      </c>
      <c r="F35" s="101"/>
      <c r="G35" s="126" t="s">
        <v>50</v>
      </c>
      <c r="H35" s="109"/>
      <c r="I35" s="109"/>
      <c r="J35" s="109"/>
      <c r="K35" s="109"/>
      <c r="L35" s="101"/>
    </row>
    <row r="36" spans="1:15" ht="31.5" customHeight="1" x14ac:dyDescent="0.25">
      <c r="A36" s="75" t="s">
        <v>51</v>
      </c>
      <c r="B36" s="76"/>
      <c r="C36" s="76"/>
      <c r="D36" s="76"/>
      <c r="E36" s="76"/>
      <c r="F36" s="76"/>
      <c r="G36" s="76"/>
      <c r="H36" s="76"/>
      <c r="I36" s="76"/>
      <c r="J36" s="76"/>
      <c r="K36" s="76"/>
      <c r="L36" s="77"/>
      <c r="O36" s="8"/>
    </row>
    <row r="37" spans="1:15" ht="31.5" customHeight="1" x14ac:dyDescent="0.25">
      <c r="A37" s="72" t="s">
        <v>52</v>
      </c>
      <c r="B37" s="61"/>
      <c r="C37" s="61"/>
      <c r="D37" s="61"/>
      <c r="E37" s="61"/>
      <c r="F37" s="61"/>
      <c r="G37" s="61"/>
      <c r="H37" s="61"/>
      <c r="I37" s="61"/>
      <c r="J37" s="61"/>
      <c r="K37" s="61"/>
      <c r="L37" s="62"/>
    </row>
    <row r="38" spans="1:15" ht="84.95" customHeight="1" x14ac:dyDescent="0.25">
      <c r="A38" s="108" t="s">
        <v>53</v>
      </c>
      <c r="B38" s="109"/>
      <c r="C38" s="109"/>
      <c r="D38" s="109"/>
      <c r="E38" s="109"/>
      <c r="F38" s="109"/>
      <c r="G38" s="109"/>
      <c r="H38" s="109"/>
      <c r="I38" s="109"/>
      <c r="J38" s="109"/>
      <c r="K38" s="101"/>
      <c r="L38" s="6" t="str">
        <f>LEN(A38)&amp;" / 800"</f>
        <v>759 / 800</v>
      </c>
    </row>
    <row r="39" spans="1:15" ht="34.5" customHeight="1" x14ac:dyDescent="0.25">
      <c r="A39" s="80" t="s">
        <v>54</v>
      </c>
      <c r="B39" s="81"/>
      <c r="C39" s="81"/>
      <c r="D39" s="81"/>
      <c r="E39" s="81"/>
      <c r="F39" s="81"/>
      <c r="G39" s="81"/>
      <c r="H39" s="81"/>
      <c r="I39" s="81"/>
      <c r="J39" s="81"/>
      <c r="K39" s="81"/>
      <c r="L39" s="82"/>
    </row>
    <row r="40" spans="1:15" ht="48.75" customHeight="1" x14ac:dyDescent="0.25">
      <c r="A40" s="138" t="s">
        <v>55</v>
      </c>
      <c r="B40" s="139"/>
      <c r="C40" s="139"/>
      <c r="D40" s="139"/>
      <c r="E40" s="139"/>
      <c r="F40" s="139"/>
      <c r="G40" s="139"/>
      <c r="H40" s="139"/>
      <c r="I40" s="139"/>
      <c r="J40" s="139"/>
      <c r="K40" s="139"/>
      <c r="L40" s="140"/>
    </row>
    <row r="41" spans="1:15" ht="31.5" customHeight="1" x14ac:dyDescent="0.25">
      <c r="A41" s="75" t="s">
        <v>56</v>
      </c>
      <c r="B41" s="76"/>
      <c r="C41" s="76"/>
      <c r="D41" s="76"/>
      <c r="E41" s="76"/>
      <c r="F41" s="76"/>
      <c r="G41" s="76"/>
      <c r="H41" s="76"/>
      <c r="I41" s="76"/>
      <c r="J41" s="76"/>
      <c r="K41" s="76"/>
      <c r="L41" s="77"/>
    </row>
    <row r="42" spans="1:15" ht="31.5" customHeight="1" x14ac:dyDescent="0.25">
      <c r="A42" s="112" t="s">
        <v>57</v>
      </c>
      <c r="B42" s="61"/>
      <c r="C42" s="61"/>
      <c r="D42" s="61"/>
      <c r="E42" s="61"/>
      <c r="F42" s="62"/>
      <c r="G42" s="4" t="s">
        <v>58</v>
      </c>
      <c r="H42" s="149" t="s">
        <v>59</v>
      </c>
      <c r="I42" s="61"/>
      <c r="J42" s="61"/>
      <c r="K42" s="61"/>
      <c r="L42" s="62"/>
    </row>
    <row r="43" spans="1:15" ht="63" customHeight="1" x14ac:dyDescent="0.25">
      <c r="A43" s="113" t="s">
        <v>60</v>
      </c>
      <c r="B43" s="61"/>
      <c r="C43" s="61"/>
      <c r="D43" s="61"/>
      <c r="E43" s="61"/>
      <c r="F43" s="62"/>
      <c r="G43" s="9" t="s">
        <v>61</v>
      </c>
      <c r="H43" s="53"/>
      <c r="I43" s="54"/>
      <c r="J43" s="54"/>
      <c r="K43" s="54"/>
      <c r="L43" s="55"/>
    </row>
    <row r="44" spans="1:15" ht="62.25" customHeight="1" x14ac:dyDescent="0.25">
      <c r="A44" s="113" t="s">
        <v>62</v>
      </c>
      <c r="B44" s="61"/>
      <c r="C44" s="61"/>
      <c r="D44" s="61"/>
      <c r="E44" s="61"/>
      <c r="F44" s="62"/>
      <c r="G44" s="9" t="s">
        <v>61</v>
      </c>
      <c r="H44" s="53"/>
      <c r="I44" s="54"/>
      <c r="J44" s="54"/>
      <c r="K44" s="54"/>
      <c r="L44" s="55"/>
    </row>
    <row r="45" spans="1:15" ht="71.45" customHeight="1" x14ac:dyDescent="0.25">
      <c r="A45" s="113" t="s">
        <v>63</v>
      </c>
      <c r="B45" s="61"/>
      <c r="C45" s="61"/>
      <c r="D45" s="61"/>
      <c r="E45" s="61"/>
      <c r="F45" s="62"/>
      <c r="G45" s="9" t="s">
        <v>30</v>
      </c>
      <c r="H45" s="53" t="s">
        <v>64</v>
      </c>
      <c r="I45" s="54"/>
      <c r="J45" s="54"/>
      <c r="K45" s="54"/>
      <c r="L45" s="55"/>
    </row>
    <row r="46" spans="1:15" ht="30.95" customHeight="1" x14ac:dyDescent="0.25">
      <c r="A46" s="113" t="s">
        <v>65</v>
      </c>
      <c r="B46" s="61"/>
      <c r="C46" s="61"/>
      <c r="D46" s="61"/>
      <c r="E46" s="61"/>
      <c r="F46" s="62"/>
      <c r="G46" s="9" t="s">
        <v>61</v>
      </c>
      <c r="H46" s="53"/>
      <c r="I46" s="54"/>
      <c r="J46" s="54"/>
      <c r="K46" s="54"/>
      <c r="L46" s="55"/>
    </row>
    <row r="47" spans="1:15" ht="30.95" customHeight="1" x14ac:dyDescent="0.25">
      <c r="A47" s="113" t="s">
        <v>66</v>
      </c>
      <c r="B47" s="61"/>
      <c r="C47" s="61"/>
      <c r="D47" s="61"/>
      <c r="E47" s="61"/>
      <c r="F47" s="62"/>
      <c r="G47" s="9" t="s">
        <v>61</v>
      </c>
      <c r="H47" s="53"/>
      <c r="I47" s="54"/>
      <c r="J47" s="54"/>
      <c r="K47" s="54"/>
      <c r="L47" s="55"/>
    </row>
    <row r="48" spans="1:15" ht="44.45" customHeight="1" x14ac:dyDescent="0.25">
      <c r="A48" s="141" t="s">
        <v>67</v>
      </c>
      <c r="B48" s="84"/>
      <c r="C48" s="84"/>
      <c r="D48" s="84"/>
      <c r="E48" s="84"/>
      <c r="F48" s="85"/>
      <c r="G48" s="10" t="s">
        <v>30</v>
      </c>
      <c r="H48" s="90" t="s">
        <v>68</v>
      </c>
      <c r="I48" s="91"/>
      <c r="J48" s="91"/>
      <c r="K48" s="91"/>
      <c r="L48" s="92"/>
    </row>
    <row r="49" spans="1:12" ht="71.45" customHeight="1" x14ac:dyDescent="0.25">
      <c r="A49" s="87" t="s">
        <v>69</v>
      </c>
      <c r="B49" s="88"/>
      <c r="C49" s="88"/>
      <c r="D49" s="88"/>
      <c r="E49" s="88"/>
      <c r="F49" s="88"/>
      <c r="G49" s="88"/>
      <c r="H49" s="147" t="s">
        <v>70</v>
      </c>
      <c r="I49" s="124"/>
      <c r="J49" s="124"/>
      <c r="K49" s="124"/>
      <c r="L49" s="148"/>
    </row>
    <row r="50" spans="1:12" ht="31.5" customHeight="1" x14ac:dyDescent="0.25">
      <c r="A50" s="75" t="s">
        <v>71</v>
      </c>
      <c r="B50" s="76"/>
      <c r="C50" s="76"/>
      <c r="D50" s="76"/>
      <c r="E50" s="76"/>
      <c r="F50" s="76"/>
      <c r="G50" s="76"/>
      <c r="H50" s="76"/>
      <c r="I50" s="76"/>
      <c r="J50" s="76"/>
      <c r="K50" s="76"/>
      <c r="L50" s="77"/>
    </row>
    <row r="51" spans="1:12" ht="63.75" customHeight="1" x14ac:dyDescent="0.25">
      <c r="A51" s="113" t="s">
        <v>72</v>
      </c>
      <c r="B51" s="61"/>
      <c r="C51" s="61"/>
      <c r="D51" s="61"/>
      <c r="E51" s="61"/>
      <c r="F51" s="61"/>
      <c r="G51" s="61"/>
      <c r="H51" s="61"/>
      <c r="I51" s="62"/>
      <c r="J51" s="127" t="s">
        <v>61</v>
      </c>
      <c r="K51" s="54"/>
      <c r="L51" s="55"/>
    </row>
    <row r="52" spans="1:12" ht="44.45" customHeight="1" x14ac:dyDescent="0.25">
      <c r="A52" s="65" t="s">
        <v>73</v>
      </c>
      <c r="B52" s="61"/>
      <c r="C52" s="61"/>
      <c r="D52" s="61"/>
      <c r="E52" s="61"/>
      <c r="F52" s="61"/>
      <c r="G52" s="61"/>
      <c r="H52" s="61"/>
      <c r="I52" s="61"/>
      <c r="J52" s="61"/>
      <c r="K52" s="61"/>
      <c r="L52" s="62"/>
    </row>
    <row r="53" spans="1:12" ht="69.75" customHeight="1" x14ac:dyDescent="0.25">
      <c r="A53" s="135" t="s">
        <v>74</v>
      </c>
      <c r="B53" s="124"/>
      <c r="C53" s="124"/>
      <c r="D53" s="124"/>
      <c r="E53" s="124"/>
      <c r="F53" s="124"/>
      <c r="G53" s="124"/>
      <c r="H53" s="124"/>
      <c r="I53" s="124"/>
      <c r="J53" s="124"/>
      <c r="K53" s="125"/>
      <c r="L53" s="11" t="str">
        <f>LEN(A53)&amp;" / 600"</f>
        <v>84 / 600</v>
      </c>
    </row>
    <row r="54" spans="1:12" ht="40.5" customHeight="1" x14ac:dyDescent="0.25">
      <c r="A54" s="80" t="s">
        <v>75</v>
      </c>
      <c r="B54" s="81"/>
      <c r="C54" s="81"/>
      <c r="D54" s="81"/>
      <c r="E54" s="81"/>
      <c r="F54" s="81"/>
      <c r="G54" s="81"/>
      <c r="H54" s="81"/>
      <c r="I54" s="81"/>
      <c r="J54" s="81"/>
      <c r="K54" s="81"/>
      <c r="L54" s="82"/>
    </row>
    <row r="55" spans="1:12" ht="63" customHeight="1" x14ac:dyDescent="0.25">
      <c r="A55" s="83" t="s">
        <v>76</v>
      </c>
      <c r="B55" s="84"/>
      <c r="C55" s="84"/>
      <c r="D55" s="84"/>
      <c r="E55" s="84"/>
      <c r="F55" s="84"/>
      <c r="G55" s="84"/>
      <c r="H55" s="84"/>
      <c r="I55" s="84"/>
      <c r="J55" s="84"/>
      <c r="K55" s="84"/>
      <c r="L55" s="85"/>
    </row>
    <row r="56" spans="1:12" ht="44.45" customHeight="1" x14ac:dyDescent="0.25">
      <c r="A56" s="12" t="s">
        <v>77</v>
      </c>
      <c r="B56" s="89" t="s">
        <v>78</v>
      </c>
      <c r="C56" s="77"/>
      <c r="D56" s="89" t="s">
        <v>79</v>
      </c>
      <c r="E56" s="77"/>
      <c r="F56" s="89" t="s">
        <v>80</v>
      </c>
      <c r="G56" s="77"/>
      <c r="H56" s="13" t="s">
        <v>81</v>
      </c>
      <c r="I56" s="89" t="s">
        <v>82</v>
      </c>
      <c r="J56" s="77"/>
      <c r="K56" s="89" t="s">
        <v>83</v>
      </c>
      <c r="L56" s="77"/>
    </row>
    <row r="57" spans="1:12" ht="78" customHeight="1" x14ac:dyDescent="0.25">
      <c r="A57" s="14" t="s">
        <v>84</v>
      </c>
      <c r="B57" s="104" t="s">
        <v>85</v>
      </c>
      <c r="C57" s="62"/>
      <c r="D57" s="104" t="s">
        <v>86</v>
      </c>
      <c r="E57" s="62"/>
      <c r="F57" s="104" t="s">
        <v>87</v>
      </c>
      <c r="G57" s="62"/>
      <c r="H57" s="15" t="s">
        <v>88</v>
      </c>
      <c r="I57" s="104" t="s">
        <v>89</v>
      </c>
      <c r="J57" s="62"/>
      <c r="K57" s="104" t="s">
        <v>90</v>
      </c>
      <c r="L57" s="62"/>
    </row>
    <row r="58" spans="1:12" ht="17.45" customHeight="1" x14ac:dyDescent="0.25">
      <c r="A58" s="95" t="s">
        <v>91</v>
      </c>
      <c r="B58" s="61"/>
      <c r="C58" s="61"/>
      <c r="D58" s="61"/>
      <c r="E58" s="61"/>
      <c r="F58" s="61"/>
      <c r="G58" s="61"/>
      <c r="H58" s="61"/>
      <c r="I58" s="61"/>
      <c r="J58" s="61"/>
      <c r="K58" s="61"/>
      <c r="L58" s="62"/>
    </row>
    <row r="59" spans="1:12" ht="57.95" customHeight="1" x14ac:dyDescent="0.25">
      <c r="A59" s="16">
        <v>1</v>
      </c>
      <c r="B59" s="56" t="s">
        <v>92</v>
      </c>
      <c r="C59" s="55"/>
      <c r="D59" s="56" t="s">
        <v>93</v>
      </c>
      <c r="E59" s="55"/>
      <c r="F59" s="56" t="s">
        <v>94</v>
      </c>
      <c r="G59" s="55"/>
      <c r="H59" s="9">
        <v>1</v>
      </c>
      <c r="I59" s="56" t="s">
        <v>95</v>
      </c>
      <c r="J59" s="55"/>
      <c r="K59" s="53" t="s">
        <v>96</v>
      </c>
      <c r="L59" s="55"/>
    </row>
    <row r="60" spans="1:12" ht="44.45" customHeight="1" x14ac:dyDescent="0.25">
      <c r="A60" s="16">
        <v>2</v>
      </c>
      <c r="B60" s="56" t="s">
        <v>97</v>
      </c>
      <c r="C60" s="55"/>
      <c r="D60" s="56" t="s">
        <v>98</v>
      </c>
      <c r="E60" s="55"/>
      <c r="F60" s="56" t="s">
        <v>99</v>
      </c>
      <c r="G60" s="55"/>
      <c r="H60" s="9" t="s">
        <v>100</v>
      </c>
      <c r="I60" s="56" t="s">
        <v>101</v>
      </c>
      <c r="J60" s="55"/>
      <c r="K60" s="53" t="s">
        <v>96</v>
      </c>
      <c r="L60" s="55"/>
    </row>
    <row r="61" spans="1:12" ht="71.45" customHeight="1" x14ac:dyDescent="0.25">
      <c r="A61" s="16">
        <v>3</v>
      </c>
      <c r="B61" s="56" t="s">
        <v>102</v>
      </c>
      <c r="C61" s="55"/>
      <c r="D61" s="56" t="s">
        <v>103</v>
      </c>
      <c r="E61" s="55"/>
      <c r="F61" s="56" t="s">
        <v>104</v>
      </c>
      <c r="G61" s="55"/>
      <c r="H61" s="9">
        <v>1</v>
      </c>
      <c r="I61" s="56" t="s">
        <v>105</v>
      </c>
      <c r="J61" s="55"/>
      <c r="K61" s="53" t="s">
        <v>96</v>
      </c>
      <c r="L61" s="55"/>
    </row>
    <row r="62" spans="1:12" ht="44.45" customHeight="1" x14ac:dyDescent="0.25">
      <c r="A62" s="16">
        <v>4</v>
      </c>
      <c r="B62" s="56" t="s">
        <v>106</v>
      </c>
      <c r="C62" s="55"/>
      <c r="D62" s="56" t="s">
        <v>107</v>
      </c>
      <c r="E62" s="55"/>
      <c r="F62" s="56" t="s">
        <v>108</v>
      </c>
      <c r="G62" s="55"/>
      <c r="H62" s="9">
        <v>15</v>
      </c>
      <c r="I62" s="56" t="s">
        <v>109</v>
      </c>
      <c r="J62" s="55"/>
      <c r="K62" s="53" t="s">
        <v>110</v>
      </c>
      <c r="L62" s="55"/>
    </row>
    <row r="63" spans="1:12" ht="44.45" customHeight="1" x14ac:dyDescent="0.25">
      <c r="A63" s="16">
        <v>5</v>
      </c>
      <c r="B63" s="56" t="s">
        <v>111</v>
      </c>
      <c r="C63" s="55"/>
      <c r="D63" s="56" t="s">
        <v>112</v>
      </c>
      <c r="E63" s="55"/>
      <c r="F63" s="56" t="s">
        <v>108</v>
      </c>
      <c r="G63" s="55"/>
      <c r="H63" s="9">
        <v>15</v>
      </c>
      <c r="I63" s="56" t="s">
        <v>113</v>
      </c>
      <c r="J63" s="55"/>
      <c r="K63" s="53" t="s">
        <v>114</v>
      </c>
      <c r="L63" s="55"/>
    </row>
    <row r="64" spans="1:12" ht="44.45" customHeight="1" x14ac:dyDescent="0.25">
      <c r="A64" s="16">
        <v>6</v>
      </c>
      <c r="B64" s="56" t="s">
        <v>115</v>
      </c>
      <c r="C64" s="55"/>
      <c r="D64" s="56" t="s">
        <v>116</v>
      </c>
      <c r="E64" s="55"/>
      <c r="F64" s="56" t="s">
        <v>117</v>
      </c>
      <c r="G64" s="55"/>
      <c r="H64" s="9">
        <v>30</v>
      </c>
      <c r="I64" s="56" t="s">
        <v>118</v>
      </c>
      <c r="J64" s="55"/>
      <c r="K64" s="53" t="s">
        <v>119</v>
      </c>
      <c r="L64" s="55"/>
    </row>
    <row r="65" spans="1:12" ht="44.45" customHeight="1" x14ac:dyDescent="0.25">
      <c r="A65" s="16">
        <v>7</v>
      </c>
      <c r="B65" s="56" t="s">
        <v>120</v>
      </c>
      <c r="C65" s="55"/>
      <c r="D65" s="56" t="s">
        <v>121</v>
      </c>
      <c r="E65" s="55"/>
      <c r="F65" s="56" t="s">
        <v>122</v>
      </c>
      <c r="G65" s="55"/>
      <c r="H65" s="9">
        <v>500</v>
      </c>
      <c r="I65" s="56" t="s">
        <v>123</v>
      </c>
      <c r="J65" s="55"/>
      <c r="K65" s="53" t="s">
        <v>119</v>
      </c>
      <c r="L65" s="55"/>
    </row>
    <row r="66" spans="1:12" ht="30.95" customHeight="1" x14ac:dyDescent="0.25">
      <c r="A66" s="16">
        <v>8</v>
      </c>
      <c r="B66" s="56" t="s">
        <v>124</v>
      </c>
      <c r="C66" s="55"/>
      <c r="D66" s="56" t="s">
        <v>125</v>
      </c>
      <c r="E66" s="55"/>
      <c r="F66" s="56" t="s">
        <v>126</v>
      </c>
      <c r="G66" s="55"/>
      <c r="H66" s="9">
        <v>1</v>
      </c>
      <c r="I66" s="56" t="s">
        <v>127</v>
      </c>
      <c r="J66" s="55"/>
      <c r="K66" s="53" t="s">
        <v>128</v>
      </c>
      <c r="L66" s="55"/>
    </row>
    <row r="67" spans="1:12" ht="57.95" customHeight="1" x14ac:dyDescent="0.25">
      <c r="A67" s="16">
        <v>9</v>
      </c>
      <c r="B67" s="56" t="s">
        <v>129</v>
      </c>
      <c r="C67" s="55"/>
      <c r="D67" s="56" t="s">
        <v>130</v>
      </c>
      <c r="E67" s="55"/>
      <c r="F67" s="56" t="s">
        <v>131</v>
      </c>
      <c r="G67" s="55"/>
      <c r="H67" s="9">
        <v>1</v>
      </c>
      <c r="I67" s="56" t="s">
        <v>132</v>
      </c>
      <c r="J67" s="55"/>
      <c r="K67" s="53" t="s">
        <v>110</v>
      </c>
      <c r="L67" s="55"/>
    </row>
    <row r="68" spans="1:12" ht="25.5" customHeight="1" x14ac:dyDescent="0.25">
      <c r="A68" s="17">
        <v>10</v>
      </c>
      <c r="B68" s="129"/>
      <c r="C68" s="101"/>
      <c r="D68" s="129"/>
      <c r="E68" s="101"/>
      <c r="F68" s="129"/>
      <c r="G68" s="101"/>
      <c r="H68" s="7"/>
      <c r="I68" s="129"/>
      <c r="J68" s="101"/>
      <c r="K68" s="122"/>
      <c r="L68" s="101"/>
    </row>
    <row r="69" spans="1:12" ht="36" customHeight="1" x14ac:dyDescent="0.25">
      <c r="A69" s="80" t="s">
        <v>133</v>
      </c>
      <c r="B69" s="81"/>
      <c r="C69" s="81"/>
      <c r="D69" s="81"/>
      <c r="E69" s="81"/>
      <c r="F69" s="81"/>
      <c r="G69" s="81"/>
      <c r="H69" s="81"/>
      <c r="I69" s="81"/>
      <c r="J69" s="81"/>
      <c r="K69" s="81"/>
      <c r="L69" s="82"/>
    </row>
    <row r="70" spans="1:12" ht="31.5" customHeight="1" x14ac:dyDescent="0.25">
      <c r="A70" s="63" t="s">
        <v>134</v>
      </c>
      <c r="B70" s="61"/>
      <c r="C70" s="61"/>
      <c r="D70" s="61"/>
      <c r="E70" s="61"/>
      <c r="F70" s="61"/>
      <c r="G70" s="61"/>
      <c r="H70" s="61"/>
      <c r="I70" s="61"/>
      <c r="J70" s="61"/>
      <c r="K70" s="61"/>
      <c r="L70" s="62"/>
    </row>
    <row r="71" spans="1:12" ht="44.45" customHeight="1" x14ac:dyDescent="0.25">
      <c r="A71" s="68" t="s">
        <v>135</v>
      </c>
      <c r="B71" s="61"/>
      <c r="C71" s="61"/>
      <c r="D71" s="61"/>
      <c r="E71" s="61"/>
      <c r="F71" s="62"/>
      <c r="G71" s="53" t="s">
        <v>136</v>
      </c>
      <c r="H71" s="54"/>
      <c r="I71" s="54"/>
      <c r="J71" s="54"/>
      <c r="K71" s="54"/>
      <c r="L71" s="55"/>
    </row>
    <row r="72" spans="1:12" ht="63" customHeight="1" x14ac:dyDescent="0.25">
      <c r="A72" s="68" t="s">
        <v>137</v>
      </c>
      <c r="B72" s="61"/>
      <c r="C72" s="61"/>
      <c r="D72" s="61"/>
      <c r="E72" s="61"/>
      <c r="F72" s="62"/>
      <c r="G72" s="53" t="s">
        <v>138</v>
      </c>
      <c r="H72" s="54"/>
      <c r="I72" s="54"/>
      <c r="J72" s="54"/>
      <c r="K72" s="54"/>
      <c r="L72" s="55"/>
    </row>
    <row r="73" spans="1:12" ht="72.75" customHeight="1" thickBot="1" x14ac:dyDescent="0.3">
      <c r="A73" s="134" t="s">
        <v>139</v>
      </c>
      <c r="B73" s="58"/>
      <c r="C73" s="58"/>
      <c r="D73" s="58"/>
      <c r="E73" s="58"/>
      <c r="F73" s="59"/>
      <c r="G73" s="143">
        <v>3000</v>
      </c>
      <c r="H73" s="92"/>
      <c r="I73" s="3" t="s">
        <v>140</v>
      </c>
      <c r="J73" s="90" t="s">
        <v>141</v>
      </c>
      <c r="K73" s="91"/>
      <c r="L73" s="92"/>
    </row>
    <row r="74" spans="1:12" ht="31.5" customHeight="1" x14ac:dyDescent="0.25">
      <c r="A74" s="79" t="s">
        <v>142</v>
      </c>
      <c r="B74" s="76"/>
      <c r="C74" s="76"/>
      <c r="D74" s="76"/>
      <c r="E74" s="76"/>
      <c r="F74" s="76"/>
      <c r="G74" s="76"/>
      <c r="H74" s="76"/>
      <c r="I74" s="76"/>
      <c r="J74" s="76"/>
      <c r="K74" s="76"/>
      <c r="L74" s="77"/>
    </row>
    <row r="75" spans="1:12" ht="79.5" customHeight="1" thickBot="1" x14ac:dyDescent="0.3">
      <c r="A75" s="108" t="s">
        <v>143</v>
      </c>
      <c r="B75" s="109"/>
      <c r="C75" s="109"/>
      <c r="D75" s="109"/>
      <c r="E75" s="109"/>
      <c r="F75" s="109"/>
      <c r="G75" s="109"/>
      <c r="H75" s="109"/>
      <c r="I75" s="109"/>
      <c r="J75" s="109"/>
      <c r="K75" s="101"/>
      <c r="L75" s="6" t="str">
        <f>LEN(A75)&amp;" / 800"</f>
        <v>536 / 800</v>
      </c>
    </row>
    <row r="76" spans="1:12" ht="58.5" customHeight="1" x14ac:dyDescent="0.25">
      <c r="A76" s="79" t="s">
        <v>144</v>
      </c>
      <c r="B76" s="76"/>
      <c r="C76" s="76"/>
      <c r="D76" s="76"/>
      <c r="E76" s="76"/>
      <c r="F76" s="76"/>
      <c r="G76" s="76"/>
      <c r="H76" s="76"/>
      <c r="I76" s="76"/>
      <c r="J76" s="76"/>
      <c r="K76" s="76"/>
      <c r="L76" s="77"/>
    </row>
    <row r="77" spans="1:12" ht="79.5" customHeight="1" x14ac:dyDescent="0.25">
      <c r="A77" s="108" t="s">
        <v>145</v>
      </c>
      <c r="B77" s="109"/>
      <c r="C77" s="109"/>
      <c r="D77" s="109"/>
      <c r="E77" s="109"/>
      <c r="F77" s="109"/>
      <c r="G77" s="109"/>
      <c r="H77" s="109"/>
      <c r="I77" s="109"/>
      <c r="J77" s="109"/>
      <c r="K77" s="101"/>
      <c r="L77" s="6" t="str">
        <f>LEN(A77)&amp;" / 800"</f>
        <v>547 / 800</v>
      </c>
    </row>
    <row r="78" spans="1:12" ht="31.5" customHeight="1" x14ac:dyDescent="0.25">
      <c r="A78" s="79" t="s">
        <v>146</v>
      </c>
      <c r="B78" s="76"/>
      <c r="C78" s="76"/>
      <c r="D78" s="76"/>
      <c r="E78" s="76"/>
      <c r="F78" s="76"/>
      <c r="G78" s="76"/>
      <c r="H78" s="76"/>
      <c r="I78" s="76"/>
      <c r="J78" s="76"/>
      <c r="K78" s="76"/>
      <c r="L78" s="77"/>
    </row>
    <row r="79" spans="1:12" ht="69.75" customHeight="1" x14ac:dyDescent="0.25">
      <c r="A79" s="108" t="s">
        <v>147</v>
      </c>
      <c r="B79" s="109"/>
      <c r="C79" s="109"/>
      <c r="D79" s="109"/>
      <c r="E79" s="109"/>
      <c r="F79" s="109"/>
      <c r="G79" s="109"/>
      <c r="H79" s="109"/>
      <c r="I79" s="109"/>
      <c r="J79" s="109"/>
      <c r="K79" s="101"/>
      <c r="L79" s="6" t="str">
        <f>LEN(A79)&amp;" / 600"</f>
        <v>500 / 600</v>
      </c>
    </row>
    <row r="80" spans="1:12" ht="34.5" customHeight="1" x14ac:dyDescent="0.25">
      <c r="A80" s="80" t="s">
        <v>148</v>
      </c>
      <c r="B80" s="81"/>
      <c r="C80" s="81"/>
      <c r="D80" s="81"/>
      <c r="E80" s="81"/>
      <c r="F80" s="81"/>
      <c r="G80" s="81"/>
      <c r="H80" s="81"/>
      <c r="I80" s="81"/>
      <c r="J80" s="81"/>
      <c r="K80" s="81"/>
      <c r="L80" s="82"/>
    </row>
    <row r="81" spans="1:12" ht="96.75" customHeight="1" x14ac:dyDescent="0.25">
      <c r="A81" s="63" t="s">
        <v>149</v>
      </c>
      <c r="B81" s="61"/>
      <c r="C81" s="61"/>
      <c r="D81" s="61"/>
      <c r="E81" s="61"/>
      <c r="F81" s="61"/>
      <c r="G81" s="61"/>
      <c r="H81" s="61"/>
      <c r="I81" s="61"/>
      <c r="J81" s="61"/>
      <c r="K81" s="61"/>
      <c r="L81" s="62"/>
    </row>
    <row r="82" spans="1:12" ht="58.5" customHeight="1" x14ac:dyDescent="0.25">
      <c r="A82" s="68" t="s">
        <v>150</v>
      </c>
      <c r="B82" s="61"/>
      <c r="C82" s="61"/>
      <c r="D82" s="61"/>
      <c r="E82" s="61"/>
      <c r="F82" s="62"/>
      <c r="G82" s="53" t="s">
        <v>151</v>
      </c>
      <c r="H82" s="54"/>
      <c r="I82" s="54"/>
      <c r="J82" s="54"/>
      <c r="K82" s="54"/>
      <c r="L82" s="55"/>
    </row>
    <row r="83" spans="1:12" ht="31.5" customHeight="1" x14ac:dyDescent="0.25">
      <c r="A83" s="69" t="s">
        <v>152</v>
      </c>
      <c r="B83" s="70"/>
      <c r="C83" s="70"/>
      <c r="D83" s="70"/>
      <c r="E83" s="70"/>
      <c r="F83" s="70"/>
      <c r="G83" s="70"/>
      <c r="H83" s="70"/>
      <c r="I83" s="70"/>
      <c r="J83" s="70"/>
      <c r="K83" s="70"/>
      <c r="L83" s="71"/>
    </row>
    <row r="84" spans="1:12" ht="36" customHeight="1" x14ac:dyDescent="0.25">
      <c r="A84" s="112" t="s">
        <v>153</v>
      </c>
      <c r="B84" s="61"/>
      <c r="C84" s="61"/>
      <c r="D84" s="61"/>
      <c r="E84" s="61"/>
      <c r="F84" s="62"/>
      <c r="G84" s="114" t="s">
        <v>154</v>
      </c>
      <c r="H84" s="62"/>
      <c r="I84" s="149" t="s">
        <v>155</v>
      </c>
      <c r="J84" s="61"/>
      <c r="K84" s="61"/>
      <c r="L84" s="62"/>
    </row>
    <row r="85" spans="1:12" ht="31.5" customHeight="1" x14ac:dyDescent="0.25">
      <c r="A85" s="113" t="s">
        <v>156</v>
      </c>
      <c r="B85" s="61"/>
      <c r="C85" s="61"/>
      <c r="D85" s="61"/>
      <c r="E85" s="61"/>
      <c r="F85" s="62"/>
      <c r="G85" s="102">
        <v>5000</v>
      </c>
      <c r="H85" s="55"/>
      <c r="I85" s="53" t="s">
        <v>157</v>
      </c>
      <c r="J85" s="54"/>
      <c r="K85" s="54"/>
      <c r="L85" s="55"/>
    </row>
    <row r="86" spans="1:12" ht="31.5" customHeight="1" x14ac:dyDescent="0.25">
      <c r="A86" s="113" t="s">
        <v>158</v>
      </c>
      <c r="B86" s="61"/>
      <c r="C86" s="61"/>
      <c r="D86" s="61"/>
      <c r="E86" s="61"/>
      <c r="F86" s="62"/>
      <c r="G86" s="102"/>
      <c r="H86" s="55"/>
      <c r="I86" s="53"/>
      <c r="J86" s="54"/>
      <c r="K86" s="54"/>
      <c r="L86" s="55"/>
    </row>
    <row r="87" spans="1:12" ht="44.45" customHeight="1" x14ac:dyDescent="0.25">
      <c r="A87" s="113" t="s">
        <v>159</v>
      </c>
      <c r="B87" s="61"/>
      <c r="C87" s="61"/>
      <c r="D87" s="61"/>
      <c r="E87" s="61"/>
      <c r="F87" s="62"/>
      <c r="G87" s="102">
        <v>3000</v>
      </c>
      <c r="H87" s="55"/>
      <c r="I87" s="53" t="s">
        <v>160</v>
      </c>
      <c r="J87" s="54"/>
      <c r="K87" s="54"/>
      <c r="L87" s="55"/>
    </row>
    <row r="88" spans="1:12" ht="44.45" customHeight="1" x14ac:dyDescent="0.25">
      <c r="A88" s="97" t="s">
        <v>161</v>
      </c>
      <c r="B88" s="88"/>
      <c r="C88" s="88"/>
      <c r="D88" s="88"/>
      <c r="E88" s="88"/>
      <c r="F88" s="98"/>
      <c r="G88" s="150">
        <v>80</v>
      </c>
      <c r="H88" s="125"/>
      <c r="I88" s="123" t="s">
        <v>162</v>
      </c>
      <c r="J88" s="124"/>
      <c r="K88" s="124"/>
      <c r="L88" s="125"/>
    </row>
    <row r="89" spans="1:12" ht="67.5" customHeight="1" x14ac:dyDescent="0.25">
      <c r="A89" s="105" t="s">
        <v>163</v>
      </c>
      <c r="B89" s="106"/>
      <c r="C89" s="106"/>
      <c r="D89" s="106"/>
      <c r="E89" s="106"/>
      <c r="F89" s="106"/>
      <c r="G89" s="106"/>
      <c r="H89" s="107"/>
      <c r="I89" s="19" t="s">
        <v>30</v>
      </c>
      <c r="J89" s="18" t="s">
        <v>164</v>
      </c>
      <c r="K89" s="131" t="s">
        <v>165</v>
      </c>
      <c r="L89" s="132"/>
    </row>
    <row r="90" spans="1:12" ht="46.5" customHeight="1" x14ac:dyDescent="0.25">
      <c r="A90" s="68" t="s">
        <v>166</v>
      </c>
      <c r="B90" s="61"/>
      <c r="C90" s="61"/>
      <c r="D90" s="61"/>
      <c r="E90" s="61"/>
      <c r="F90" s="61"/>
      <c r="G90" s="61"/>
      <c r="H90" s="61"/>
      <c r="I90" s="61"/>
      <c r="J90" s="62"/>
      <c r="K90" s="102">
        <v>20</v>
      </c>
      <c r="L90" s="55"/>
    </row>
    <row r="91" spans="1:12" ht="61.5" customHeight="1" x14ac:dyDescent="0.25">
      <c r="A91" s="63" t="s">
        <v>167</v>
      </c>
      <c r="B91" s="61"/>
      <c r="C91" s="61"/>
      <c r="D91" s="61"/>
      <c r="E91" s="61"/>
      <c r="F91" s="61"/>
      <c r="G91" s="61"/>
      <c r="H91" s="61"/>
      <c r="I91" s="61"/>
      <c r="J91" s="61"/>
      <c r="K91" s="61"/>
      <c r="L91" s="62"/>
    </row>
    <row r="92" spans="1:12" ht="35.25" customHeight="1" x14ac:dyDescent="0.25">
      <c r="A92" s="80" t="s">
        <v>168</v>
      </c>
      <c r="B92" s="81"/>
      <c r="C92" s="81"/>
      <c r="D92" s="81"/>
      <c r="E92" s="81"/>
      <c r="F92" s="81"/>
      <c r="G92" s="81"/>
      <c r="H92" s="81"/>
      <c r="I92" s="81"/>
      <c r="J92" s="81"/>
      <c r="K92" s="81"/>
      <c r="L92" s="82"/>
    </row>
    <row r="93" spans="1:12" ht="58.5" customHeight="1" x14ac:dyDescent="0.25">
      <c r="A93" s="68" t="s">
        <v>169</v>
      </c>
      <c r="B93" s="62"/>
      <c r="C93" s="133" t="s">
        <v>170</v>
      </c>
      <c r="D93" s="55"/>
      <c r="E93" s="68" t="s">
        <v>171</v>
      </c>
      <c r="F93" s="61"/>
      <c r="G93" s="61"/>
      <c r="H93" s="62"/>
      <c r="I93" s="20">
        <v>8.0026E-2</v>
      </c>
      <c r="J93" s="2" t="s">
        <v>172</v>
      </c>
      <c r="K93" s="133" t="s">
        <v>173</v>
      </c>
      <c r="L93" s="55"/>
    </row>
    <row r="94" spans="1:12" ht="90" customHeight="1" x14ac:dyDescent="0.25">
      <c r="A94" s="63" t="s">
        <v>174</v>
      </c>
      <c r="B94" s="61"/>
      <c r="C94" s="61"/>
      <c r="D94" s="61"/>
      <c r="E94" s="61"/>
      <c r="F94" s="61"/>
      <c r="G94" s="61"/>
      <c r="H94" s="61"/>
      <c r="I94" s="61"/>
      <c r="J94" s="61"/>
      <c r="K94" s="61"/>
      <c r="L94" s="62"/>
    </row>
    <row r="95" spans="1:12" ht="58.5" customHeight="1" x14ac:dyDescent="0.25">
      <c r="A95" s="21" t="s">
        <v>77</v>
      </c>
      <c r="B95" s="110" t="s">
        <v>175</v>
      </c>
      <c r="C95" s="61"/>
      <c r="D95" s="62"/>
      <c r="E95" s="21" t="s">
        <v>176</v>
      </c>
      <c r="F95" s="21" t="s">
        <v>177</v>
      </c>
      <c r="G95" s="21" t="s">
        <v>178</v>
      </c>
      <c r="H95" s="21" t="s">
        <v>179</v>
      </c>
      <c r="I95" s="21" t="s">
        <v>180</v>
      </c>
      <c r="J95" s="21" t="s">
        <v>181</v>
      </c>
      <c r="K95" s="130" t="s">
        <v>182</v>
      </c>
      <c r="L95" s="62"/>
    </row>
    <row r="96" spans="1:12" ht="31.5" customHeight="1" x14ac:dyDescent="0.25">
      <c r="A96" s="121" t="s">
        <v>183</v>
      </c>
      <c r="B96" s="61"/>
      <c r="C96" s="61"/>
      <c r="D96" s="61"/>
      <c r="E96" s="61"/>
      <c r="F96" s="61"/>
      <c r="G96" s="61"/>
      <c r="H96" s="61"/>
      <c r="I96" s="61"/>
      <c r="J96" s="61"/>
      <c r="K96" s="61"/>
      <c r="L96" s="62"/>
    </row>
    <row r="97" spans="1:12" ht="31.5" customHeight="1" x14ac:dyDescent="0.25">
      <c r="A97" s="64" t="s">
        <v>184</v>
      </c>
      <c r="B97" s="61"/>
      <c r="C97" s="61"/>
      <c r="D97" s="61"/>
      <c r="E97" s="61"/>
      <c r="F97" s="61"/>
      <c r="G97" s="61"/>
      <c r="H97" s="61"/>
      <c r="I97" s="61"/>
      <c r="J97" s="61"/>
      <c r="K97" s="61"/>
      <c r="L97" s="62"/>
    </row>
    <row r="98" spans="1:12" ht="30.95" customHeight="1" x14ac:dyDescent="0.25">
      <c r="A98" s="1">
        <v>1</v>
      </c>
      <c r="B98" s="53" t="s">
        <v>185</v>
      </c>
      <c r="C98" s="54"/>
      <c r="D98" s="55"/>
      <c r="E98" s="9" t="s">
        <v>186</v>
      </c>
      <c r="F98" s="22">
        <v>1</v>
      </c>
      <c r="G98" s="23">
        <v>6500</v>
      </c>
      <c r="H98" s="24">
        <f t="shared" ref="H98:H111" si="0">IF(OR(F98="",G98=""),"",F98*G98)</f>
        <v>6500</v>
      </c>
      <c r="I98" s="24">
        <f t="shared" ref="I98:I111" si="1">IF(H98="","",IF($I$93=0,"",H98/$I$93))</f>
        <v>81223.602329242989</v>
      </c>
      <c r="J98" s="25">
        <f t="shared" ref="J98:J111" si="2">IF(H98="","",IF($H$157=0,"",H98/$H$157))</f>
        <v>0.17581823099810656</v>
      </c>
      <c r="K98" s="53"/>
      <c r="L98" s="55"/>
    </row>
    <row r="99" spans="1:12" ht="44.45" customHeight="1" x14ac:dyDescent="0.25">
      <c r="A99" s="1">
        <v>2</v>
      </c>
      <c r="B99" s="53" t="s">
        <v>187</v>
      </c>
      <c r="C99" s="54"/>
      <c r="D99" s="55"/>
      <c r="E99" s="9" t="s">
        <v>186</v>
      </c>
      <c r="F99" s="22">
        <v>1</v>
      </c>
      <c r="G99" s="23">
        <v>4500</v>
      </c>
      <c r="H99" s="24">
        <f t="shared" si="0"/>
        <v>4500</v>
      </c>
      <c r="I99" s="24">
        <f t="shared" si="1"/>
        <v>56231.724689475923</v>
      </c>
      <c r="J99" s="25">
        <f t="shared" si="2"/>
        <v>0.12172031376791993</v>
      </c>
      <c r="K99" s="53"/>
      <c r="L99" s="55"/>
    </row>
    <row r="100" spans="1:12" ht="30.95" customHeight="1" x14ac:dyDescent="0.25">
      <c r="A100" s="1">
        <v>3</v>
      </c>
      <c r="B100" s="53" t="s">
        <v>188</v>
      </c>
      <c r="C100" s="54"/>
      <c r="D100" s="55"/>
      <c r="E100" s="9" t="s">
        <v>189</v>
      </c>
      <c r="F100" s="22">
        <v>1</v>
      </c>
      <c r="G100" s="23">
        <v>800</v>
      </c>
      <c r="H100" s="24">
        <f t="shared" si="0"/>
        <v>800</v>
      </c>
      <c r="I100" s="24">
        <f t="shared" si="1"/>
        <v>9996.7510559068305</v>
      </c>
      <c r="J100" s="25">
        <f t="shared" si="2"/>
        <v>2.1639166892074655E-2</v>
      </c>
      <c r="K100" s="53"/>
      <c r="L100" s="55"/>
    </row>
    <row r="101" spans="1:12" ht="30.95" customHeight="1" x14ac:dyDescent="0.25">
      <c r="A101" s="1">
        <v>4</v>
      </c>
      <c r="B101" s="53" t="s">
        <v>190</v>
      </c>
      <c r="C101" s="54"/>
      <c r="D101" s="55"/>
      <c r="E101" s="9" t="s">
        <v>186</v>
      </c>
      <c r="F101" s="22">
        <v>4</v>
      </c>
      <c r="G101" s="23">
        <v>2700</v>
      </c>
      <c r="H101" s="24">
        <f t="shared" si="0"/>
        <v>10800</v>
      </c>
      <c r="I101" s="24">
        <f t="shared" si="1"/>
        <v>134956.13925474221</v>
      </c>
      <c r="J101" s="25">
        <f t="shared" si="2"/>
        <v>0.29212875304300784</v>
      </c>
      <c r="K101" s="53"/>
      <c r="L101" s="55"/>
    </row>
    <row r="102" spans="1:12" ht="44.45" customHeight="1" x14ac:dyDescent="0.25">
      <c r="A102" s="1">
        <v>5</v>
      </c>
      <c r="B102" s="53" t="s">
        <v>191</v>
      </c>
      <c r="C102" s="54"/>
      <c r="D102" s="55"/>
      <c r="E102" s="9" t="s">
        <v>186</v>
      </c>
      <c r="F102" s="22">
        <v>4</v>
      </c>
      <c r="G102" s="23">
        <v>450</v>
      </c>
      <c r="H102" s="24">
        <f t="shared" si="0"/>
        <v>1800</v>
      </c>
      <c r="I102" s="24">
        <f t="shared" si="1"/>
        <v>22492.689875790369</v>
      </c>
      <c r="J102" s="25">
        <f t="shared" si="2"/>
        <v>4.8688125507167973E-2</v>
      </c>
      <c r="K102" s="53"/>
      <c r="L102" s="55"/>
    </row>
    <row r="103" spans="1:12" ht="30.95" customHeight="1" x14ac:dyDescent="0.25">
      <c r="A103" s="1">
        <v>6</v>
      </c>
      <c r="B103" s="53" t="s">
        <v>192</v>
      </c>
      <c r="C103" s="54"/>
      <c r="D103" s="55"/>
      <c r="E103" s="9" t="s">
        <v>193</v>
      </c>
      <c r="F103" s="22">
        <v>1</v>
      </c>
      <c r="G103" s="23">
        <v>2000</v>
      </c>
      <c r="H103" s="24">
        <f t="shared" si="0"/>
        <v>2000</v>
      </c>
      <c r="I103" s="24">
        <f t="shared" si="1"/>
        <v>24991.877639767077</v>
      </c>
      <c r="J103" s="25">
        <f t="shared" si="2"/>
        <v>5.4097917230186636E-2</v>
      </c>
      <c r="K103" s="53"/>
      <c r="L103" s="55"/>
    </row>
    <row r="104" spans="1:12" ht="30.95" customHeight="1" x14ac:dyDescent="0.25">
      <c r="A104" s="1">
        <v>7</v>
      </c>
      <c r="B104" s="53" t="s">
        <v>194</v>
      </c>
      <c r="C104" s="54"/>
      <c r="D104" s="55"/>
      <c r="E104" s="9" t="s">
        <v>186</v>
      </c>
      <c r="F104" s="22">
        <v>1</v>
      </c>
      <c r="G104" s="23">
        <v>2500</v>
      </c>
      <c r="H104" s="24">
        <f t="shared" si="0"/>
        <v>2500</v>
      </c>
      <c r="I104" s="24">
        <f t="shared" si="1"/>
        <v>31239.847049708846</v>
      </c>
      <c r="J104" s="25">
        <f t="shared" si="2"/>
        <v>6.7622396537733304E-2</v>
      </c>
      <c r="K104" s="53"/>
      <c r="L104" s="55"/>
    </row>
    <row r="105" spans="1:12" ht="30.95" customHeight="1" x14ac:dyDescent="0.25">
      <c r="A105" s="1">
        <v>8</v>
      </c>
      <c r="B105" s="53" t="s">
        <v>195</v>
      </c>
      <c r="C105" s="54"/>
      <c r="D105" s="55"/>
      <c r="E105" s="9" t="s">
        <v>186</v>
      </c>
      <c r="F105" s="22">
        <v>2</v>
      </c>
      <c r="G105" s="23">
        <v>250</v>
      </c>
      <c r="H105" s="24">
        <f t="shared" si="0"/>
        <v>500</v>
      </c>
      <c r="I105" s="24">
        <f t="shared" si="1"/>
        <v>6247.9694099417693</v>
      </c>
      <c r="J105" s="25">
        <f t="shared" si="2"/>
        <v>1.3524479307546659E-2</v>
      </c>
      <c r="K105" s="53"/>
      <c r="L105" s="55"/>
    </row>
    <row r="106" spans="1:12" ht="19.5" customHeight="1" x14ac:dyDescent="0.25">
      <c r="A106" s="1">
        <v>9</v>
      </c>
      <c r="B106" s="53"/>
      <c r="C106" s="54"/>
      <c r="D106" s="55"/>
      <c r="E106" s="9"/>
      <c r="F106" s="22"/>
      <c r="G106" s="23"/>
      <c r="H106" s="24" t="str">
        <f t="shared" si="0"/>
        <v/>
      </c>
      <c r="I106" s="24" t="str">
        <f t="shared" si="1"/>
        <v/>
      </c>
      <c r="J106" s="25" t="str">
        <f t="shared" si="2"/>
        <v/>
      </c>
      <c r="K106" s="53"/>
      <c r="L106" s="55"/>
    </row>
    <row r="107" spans="1:12" ht="19.5" customHeight="1" x14ac:dyDescent="0.25">
      <c r="A107" s="1">
        <v>10</v>
      </c>
      <c r="B107" s="53"/>
      <c r="C107" s="54"/>
      <c r="D107" s="55"/>
      <c r="E107" s="9"/>
      <c r="F107" s="22"/>
      <c r="G107" s="23"/>
      <c r="H107" s="24" t="str">
        <f t="shared" si="0"/>
        <v/>
      </c>
      <c r="I107" s="24" t="str">
        <f t="shared" si="1"/>
        <v/>
      </c>
      <c r="J107" s="25" t="str">
        <f t="shared" si="2"/>
        <v/>
      </c>
      <c r="K107" s="53"/>
      <c r="L107" s="55"/>
    </row>
    <row r="108" spans="1:12" ht="19.5" customHeight="1" x14ac:dyDescent="0.25">
      <c r="A108" s="1">
        <v>11</v>
      </c>
      <c r="B108" s="53"/>
      <c r="C108" s="54"/>
      <c r="D108" s="55"/>
      <c r="E108" s="9"/>
      <c r="F108" s="22"/>
      <c r="G108" s="23"/>
      <c r="H108" s="24" t="str">
        <f t="shared" si="0"/>
        <v/>
      </c>
      <c r="I108" s="24" t="str">
        <f t="shared" si="1"/>
        <v/>
      </c>
      <c r="J108" s="25" t="str">
        <f t="shared" si="2"/>
        <v/>
      </c>
      <c r="K108" s="53"/>
      <c r="L108" s="55"/>
    </row>
    <row r="109" spans="1:12" ht="19.5" customHeight="1" x14ac:dyDescent="0.25">
      <c r="A109" s="1">
        <v>12</v>
      </c>
      <c r="B109" s="53"/>
      <c r="C109" s="54"/>
      <c r="D109" s="55"/>
      <c r="E109" s="9"/>
      <c r="F109" s="22"/>
      <c r="G109" s="23"/>
      <c r="H109" s="24" t="str">
        <f t="shared" si="0"/>
        <v/>
      </c>
      <c r="I109" s="24" t="str">
        <f t="shared" si="1"/>
        <v/>
      </c>
      <c r="J109" s="25" t="str">
        <f t="shared" si="2"/>
        <v/>
      </c>
      <c r="K109" s="53"/>
      <c r="L109" s="55"/>
    </row>
    <row r="110" spans="1:12" ht="19.5" customHeight="1" x14ac:dyDescent="0.25">
      <c r="A110" s="1">
        <v>13</v>
      </c>
      <c r="B110" s="53"/>
      <c r="C110" s="54"/>
      <c r="D110" s="55"/>
      <c r="E110" s="9"/>
      <c r="F110" s="22"/>
      <c r="G110" s="23"/>
      <c r="H110" s="24" t="str">
        <f t="shared" si="0"/>
        <v/>
      </c>
      <c r="I110" s="24" t="str">
        <f t="shared" si="1"/>
        <v/>
      </c>
      <c r="J110" s="25" t="str">
        <f t="shared" si="2"/>
        <v/>
      </c>
      <c r="K110" s="53"/>
      <c r="L110" s="55"/>
    </row>
    <row r="111" spans="1:12" ht="19.5" customHeight="1" x14ac:dyDescent="0.25">
      <c r="A111" s="1">
        <v>14</v>
      </c>
      <c r="B111" s="53"/>
      <c r="C111" s="54"/>
      <c r="D111" s="55"/>
      <c r="E111" s="9"/>
      <c r="F111" s="22"/>
      <c r="G111" s="23"/>
      <c r="H111" s="24" t="str">
        <f t="shared" si="0"/>
        <v/>
      </c>
      <c r="I111" s="24" t="str">
        <f t="shared" si="1"/>
        <v/>
      </c>
      <c r="J111" s="25" t="str">
        <f t="shared" si="2"/>
        <v/>
      </c>
      <c r="K111" s="53"/>
      <c r="L111" s="55"/>
    </row>
    <row r="112" spans="1:12" ht="46.5" customHeight="1" x14ac:dyDescent="0.25">
      <c r="A112" s="67" t="s">
        <v>196</v>
      </c>
      <c r="B112" s="61"/>
      <c r="C112" s="61"/>
      <c r="D112" s="61"/>
      <c r="E112" s="61"/>
      <c r="F112" s="61"/>
      <c r="G112" s="62"/>
      <c r="H112" s="26">
        <f>SUM(H98:H111)</f>
        <v>29400</v>
      </c>
      <c r="I112" s="26">
        <f>SUM(I98:I111)</f>
        <v>367380.60130457598</v>
      </c>
      <c r="J112" s="27">
        <f>IF($H$157=0,"",H112/$H$157)</f>
        <v>0.79523938328374355</v>
      </c>
      <c r="K112" s="94"/>
      <c r="L112" s="62"/>
    </row>
    <row r="113" spans="1:12" ht="31.5" customHeight="1" x14ac:dyDescent="0.25">
      <c r="A113" s="64" t="s">
        <v>197</v>
      </c>
      <c r="B113" s="61"/>
      <c r="C113" s="61"/>
      <c r="D113" s="61"/>
      <c r="E113" s="61"/>
      <c r="F113" s="61"/>
      <c r="G113" s="61"/>
      <c r="H113" s="61"/>
      <c r="I113" s="61"/>
      <c r="J113" s="61"/>
      <c r="K113" s="61"/>
      <c r="L113" s="62"/>
    </row>
    <row r="114" spans="1:12" ht="44.45" customHeight="1" x14ac:dyDescent="0.25">
      <c r="A114" s="1">
        <v>1</v>
      </c>
      <c r="B114" s="53"/>
      <c r="C114" s="54"/>
      <c r="D114" s="55"/>
      <c r="E114" s="9"/>
      <c r="F114" s="22"/>
      <c r="G114" s="23"/>
      <c r="H114" s="24" t="str">
        <f t="shared" ref="H114:H119" si="3">IF(OR(F114="",G114=""),"",F114*G114)</f>
        <v/>
      </c>
      <c r="I114" s="24" t="str">
        <f t="shared" ref="I114:I119" si="4">IF(H114="","",IF($I$93=0,"",H114/$I$93))</f>
        <v/>
      </c>
      <c r="J114" s="25" t="str">
        <f t="shared" ref="J114:J119" si="5">IF(H114="","",IF($H$157=0,"",H114/$H$157))</f>
        <v/>
      </c>
      <c r="K114" s="53"/>
      <c r="L114" s="55"/>
    </row>
    <row r="115" spans="1:12" ht="19.5" customHeight="1" x14ac:dyDescent="0.25">
      <c r="A115" s="1">
        <v>2</v>
      </c>
      <c r="B115" s="53"/>
      <c r="C115" s="54"/>
      <c r="D115" s="55"/>
      <c r="E115" s="9"/>
      <c r="F115" s="22"/>
      <c r="G115" s="23"/>
      <c r="H115" s="24" t="str">
        <f t="shared" si="3"/>
        <v/>
      </c>
      <c r="I115" s="24" t="str">
        <f t="shared" si="4"/>
        <v/>
      </c>
      <c r="J115" s="25" t="str">
        <f t="shared" si="5"/>
        <v/>
      </c>
      <c r="K115" s="53"/>
      <c r="L115" s="55"/>
    </row>
    <row r="116" spans="1:12" ht="19.5" customHeight="1" x14ac:dyDescent="0.25">
      <c r="A116" s="1">
        <v>3</v>
      </c>
      <c r="B116" s="53"/>
      <c r="C116" s="54"/>
      <c r="D116" s="55"/>
      <c r="E116" s="9"/>
      <c r="F116" s="22"/>
      <c r="G116" s="23"/>
      <c r="H116" s="24" t="str">
        <f t="shared" si="3"/>
        <v/>
      </c>
      <c r="I116" s="24" t="str">
        <f t="shared" si="4"/>
        <v/>
      </c>
      <c r="J116" s="25" t="str">
        <f t="shared" si="5"/>
        <v/>
      </c>
      <c r="K116" s="53"/>
      <c r="L116" s="55"/>
    </row>
    <row r="117" spans="1:12" ht="19.5" customHeight="1" x14ac:dyDescent="0.25">
      <c r="A117" s="1">
        <v>4</v>
      </c>
      <c r="B117" s="53"/>
      <c r="C117" s="54"/>
      <c r="D117" s="55"/>
      <c r="E117" s="9"/>
      <c r="F117" s="22"/>
      <c r="G117" s="23"/>
      <c r="H117" s="24" t="str">
        <f t="shared" si="3"/>
        <v/>
      </c>
      <c r="I117" s="24" t="str">
        <f t="shared" si="4"/>
        <v/>
      </c>
      <c r="J117" s="25" t="str">
        <f t="shared" si="5"/>
        <v/>
      </c>
      <c r="K117" s="53"/>
      <c r="L117" s="55"/>
    </row>
    <row r="118" spans="1:12" ht="19.5" customHeight="1" x14ac:dyDescent="0.25">
      <c r="A118" s="1">
        <v>5</v>
      </c>
      <c r="B118" s="53"/>
      <c r="C118" s="54"/>
      <c r="D118" s="55"/>
      <c r="E118" s="9"/>
      <c r="F118" s="22"/>
      <c r="G118" s="23"/>
      <c r="H118" s="24" t="str">
        <f t="shared" si="3"/>
        <v/>
      </c>
      <c r="I118" s="24" t="str">
        <f t="shared" si="4"/>
        <v/>
      </c>
      <c r="J118" s="25" t="str">
        <f t="shared" si="5"/>
        <v/>
      </c>
      <c r="K118" s="53"/>
      <c r="L118" s="55"/>
    </row>
    <row r="119" spans="1:12" ht="19.5" customHeight="1" x14ac:dyDescent="0.25">
      <c r="A119" s="1">
        <v>6</v>
      </c>
      <c r="B119" s="53"/>
      <c r="C119" s="54"/>
      <c r="D119" s="55"/>
      <c r="E119" s="9"/>
      <c r="F119" s="22"/>
      <c r="G119" s="23"/>
      <c r="H119" s="24" t="str">
        <f t="shared" si="3"/>
        <v/>
      </c>
      <c r="I119" s="24" t="str">
        <f t="shared" si="4"/>
        <v/>
      </c>
      <c r="J119" s="25" t="str">
        <f t="shared" si="5"/>
        <v/>
      </c>
      <c r="K119" s="53"/>
      <c r="L119" s="55"/>
    </row>
    <row r="120" spans="1:12" ht="31.5" customHeight="1" x14ac:dyDescent="0.25">
      <c r="A120" s="67" t="s">
        <v>198</v>
      </c>
      <c r="B120" s="61"/>
      <c r="C120" s="61"/>
      <c r="D120" s="61"/>
      <c r="E120" s="61"/>
      <c r="F120" s="61"/>
      <c r="G120" s="62"/>
      <c r="H120" s="26">
        <f>SUM(H114:H119)</f>
        <v>0</v>
      </c>
      <c r="I120" s="26">
        <f>SUM(I114:I119)</f>
        <v>0</v>
      </c>
      <c r="J120" s="27">
        <f>IF($H$157=0,"",H120/$H$157)</f>
        <v>0</v>
      </c>
      <c r="K120" s="94"/>
      <c r="L120" s="62"/>
    </row>
    <row r="121" spans="1:12" ht="31.5" customHeight="1" x14ac:dyDescent="0.25">
      <c r="A121" s="64" t="s">
        <v>199</v>
      </c>
      <c r="B121" s="61"/>
      <c r="C121" s="61"/>
      <c r="D121" s="61"/>
      <c r="E121" s="61"/>
      <c r="F121" s="61"/>
      <c r="G121" s="61"/>
      <c r="H121" s="61"/>
      <c r="I121" s="61"/>
      <c r="J121" s="61"/>
      <c r="K121" s="61"/>
      <c r="L121" s="62"/>
    </row>
    <row r="122" spans="1:12" ht="30.95" customHeight="1" x14ac:dyDescent="0.25">
      <c r="A122" s="1">
        <v>1</v>
      </c>
      <c r="B122" s="53" t="s">
        <v>200</v>
      </c>
      <c r="C122" s="54"/>
      <c r="D122" s="55"/>
      <c r="E122" s="9" t="s">
        <v>201</v>
      </c>
      <c r="F122" s="22">
        <v>1</v>
      </c>
      <c r="G122" s="23">
        <v>600</v>
      </c>
      <c r="H122" s="24">
        <f t="shared" ref="H122:H127" si="6">IF(OR(F122="",G122=""),"",F122*G122)</f>
        <v>600</v>
      </c>
      <c r="I122" s="24">
        <f t="shared" ref="I122:I127" si="7">IF(H122="","",IF($I$93=0,"",H122/$I$93))</f>
        <v>7497.5632919301224</v>
      </c>
      <c r="J122" s="25">
        <f t="shared" ref="J122:J127" si="8">IF(H122="","",IF($H$157=0,"",H122/$H$157))</f>
        <v>1.6229375169055992E-2</v>
      </c>
      <c r="K122" s="53"/>
      <c r="L122" s="55"/>
    </row>
    <row r="123" spans="1:12" ht="30.95" customHeight="1" x14ac:dyDescent="0.25">
      <c r="A123" s="1">
        <v>2</v>
      </c>
      <c r="B123" s="53" t="s">
        <v>202</v>
      </c>
      <c r="C123" s="54"/>
      <c r="D123" s="55"/>
      <c r="E123" s="9" t="s">
        <v>201</v>
      </c>
      <c r="F123" s="22">
        <v>1</v>
      </c>
      <c r="G123" s="23">
        <v>400</v>
      </c>
      <c r="H123" s="24">
        <f t="shared" si="6"/>
        <v>400</v>
      </c>
      <c r="I123" s="24">
        <f t="shared" si="7"/>
        <v>4998.3755279534153</v>
      </c>
      <c r="J123" s="25">
        <f t="shared" si="8"/>
        <v>1.0819583446037328E-2</v>
      </c>
      <c r="K123" s="53"/>
      <c r="L123" s="55"/>
    </row>
    <row r="124" spans="1:12" ht="19.5" customHeight="1" x14ac:dyDescent="0.25">
      <c r="A124" s="1">
        <v>3</v>
      </c>
      <c r="B124" s="53"/>
      <c r="C124" s="54"/>
      <c r="D124" s="55"/>
      <c r="E124" s="9"/>
      <c r="F124" s="22"/>
      <c r="G124" s="23"/>
      <c r="H124" s="24" t="str">
        <f t="shared" si="6"/>
        <v/>
      </c>
      <c r="I124" s="24" t="str">
        <f t="shared" si="7"/>
        <v/>
      </c>
      <c r="J124" s="25" t="str">
        <f t="shared" si="8"/>
        <v/>
      </c>
      <c r="K124" s="53"/>
      <c r="L124" s="55"/>
    </row>
    <row r="125" spans="1:12" ht="19.5" customHeight="1" x14ac:dyDescent="0.25">
      <c r="A125" s="1">
        <v>4</v>
      </c>
      <c r="B125" s="53"/>
      <c r="C125" s="54"/>
      <c r="D125" s="55"/>
      <c r="E125" s="9"/>
      <c r="F125" s="22"/>
      <c r="G125" s="23"/>
      <c r="H125" s="24" t="str">
        <f t="shared" si="6"/>
        <v/>
      </c>
      <c r="I125" s="24" t="str">
        <f t="shared" si="7"/>
        <v/>
      </c>
      <c r="J125" s="25" t="str">
        <f t="shared" si="8"/>
        <v/>
      </c>
      <c r="K125" s="53"/>
      <c r="L125" s="55"/>
    </row>
    <row r="126" spans="1:12" ht="19.5" customHeight="1" x14ac:dyDescent="0.25">
      <c r="A126" s="1">
        <v>5</v>
      </c>
      <c r="B126" s="53"/>
      <c r="C126" s="54"/>
      <c r="D126" s="55"/>
      <c r="E126" s="9"/>
      <c r="F126" s="22"/>
      <c r="G126" s="23"/>
      <c r="H126" s="24" t="str">
        <f t="shared" si="6"/>
        <v/>
      </c>
      <c r="I126" s="24" t="str">
        <f t="shared" si="7"/>
        <v/>
      </c>
      <c r="J126" s="25" t="str">
        <f t="shared" si="8"/>
        <v/>
      </c>
      <c r="K126" s="53"/>
      <c r="L126" s="55"/>
    </row>
    <row r="127" spans="1:12" ht="19.5" customHeight="1" x14ac:dyDescent="0.25">
      <c r="A127" s="1">
        <v>6</v>
      </c>
      <c r="B127" s="53"/>
      <c r="C127" s="54"/>
      <c r="D127" s="55"/>
      <c r="E127" s="9"/>
      <c r="F127" s="22"/>
      <c r="G127" s="23"/>
      <c r="H127" s="24" t="str">
        <f t="shared" si="6"/>
        <v/>
      </c>
      <c r="I127" s="24" t="str">
        <f t="shared" si="7"/>
        <v/>
      </c>
      <c r="J127" s="25" t="str">
        <f t="shared" si="8"/>
        <v/>
      </c>
      <c r="K127" s="53"/>
      <c r="L127" s="55"/>
    </row>
    <row r="128" spans="1:12" ht="58.5" customHeight="1" x14ac:dyDescent="0.25">
      <c r="A128" s="67" t="s">
        <v>203</v>
      </c>
      <c r="B128" s="61"/>
      <c r="C128" s="61"/>
      <c r="D128" s="61"/>
      <c r="E128" s="61"/>
      <c r="F128" s="61"/>
      <c r="G128" s="62"/>
      <c r="H128" s="26">
        <f>SUM(H122:H127)</f>
        <v>1000</v>
      </c>
      <c r="I128" s="26">
        <f>SUM(I122:I127)</f>
        <v>12495.938819883537</v>
      </c>
      <c r="J128" s="27">
        <f>IF($H$157=0,"",H128/$H$157)</f>
        <v>2.7048958615093318E-2</v>
      </c>
      <c r="K128" s="94"/>
      <c r="L128" s="62"/>
    </row>
    <row r="129" spans="1:12" ht="31.5" customHeight="1" x14ac:dyDescent="0.25">
      <c r="A129" s="64" t="s">
        <v>204</v>
      </c>
      <c r="B129" s="61"/>
      <c r="C129" s="61"/>
      <c r="D129" s="61"/>
      <c r="E129" s="61"/>
      <c r="F129" s="61"/>
      <c r="G129" s="61"/>
      <c r="H129" s="61"/>
      <c r="I129" s="61"/>
      <c r="J129" s="61"/>
      <c r="K129" s="61"/>
      <c r="L129" s="62"/>
    </row>
    <row r="130" spans="1:12" ht="30.95" customHeight="1" x14ac:dyDescent="0.25">
      <c r="A130" s="1">
        <v>1</v>
      </c>
      <c r="B130" s="53" t="s">
        <v>205</v>
      </c>
      <c r="C130" s="54"/>
      <c r="D130" s="55"/>
      <c r="E130" s="9" t="s">
        <v>206</v>
      </c>
      <c r="F130" s="22">
        <v>15</v>
      </c>
      <c r="G130" s="23">
        <v>200</v>
      </c>
      <c r="H130" s="24">
        <f>IF(OR(F130="",G130=""),"",F130*G130)</f>
        <v>3000</v>
      </c>
      <c r="I130" s="24">
        <f>IF(H130="","",IF($I$93=0,"",H130/$I$93))</f>
        <v>37487.81645965061</v>
      </c>
      <c r="J130" s="25">
        <f>IF(H130="","",IF($H$157=0,"",H130/$H$157))</f>
        <v>8.114687584527995E-2</v>
      </c>
      <c r="K130" s="53"/>
      <c r="L130" s="55"/>
    </row>
    <row r="131" spans="1:12" ht="30.95" customHeight="1" x14ac:dyDescent="0.25">
      <c r="A131" s="1">
        <v>2</v>
      </c>
      <c r="B131" s="53" t="s">
        <v>207</v>
      </c>
      <c r="C131" s="54"/>
      <c r="D131" s="55"/>
      <c r="E131" s="9" t="s">
        <v>206</v>
      </c>
      <c r="F131" s="22">
        <v>15</v>
      </c>
      <c r="G131" s="23">
        <v>140</v>
      </c>
      <c r="H131" s="24">
        <f>IF(OR(F131="",G131=""),"",F131*G131)</f>
        <v>2100</v>
      </c>
      <c r="I131" s="24">
        <f>IF(H131="","",IF($I$93=0,"",H131/$I$93))</f>
        <v>26241.471521755429</v>
      </c>
      <c r="J131" s="25">
        <f>IF(H131="","",IF($H$157=0,"",H131/$H$157))</f>
        <v>5.6802813091695971E-2</v>
      </c>
      <c r="K131" s="53"/>
      <c r="L131" s="55"/>
    </row>
    <row r="132" spans="1:12" ht="30.95" customHeight="1" x14ac:dyDescent="0.25">
      <c r="A132" s="1">
        <v>3</v>
      </c>
      <c r="B132" s="53" t="s">
        <v>208</v>
      </c>
      <c r="C132" s="54"/>
      <c r="D132" s="55"/>
      <c r="E132" s="9" t="s">
        <v>209</v>
      </c>
      <c r="F132" s="22">
        <v>4</v>
      </c>
      <c r="G132" s="23">
        <v>100</v>
      </c>
      <c r="H132" s="24">
        <f>IF(OR(F132="",G132=""),"",F132*G132)</f>
        <v>400</v>
      </c>
      <c r="I132" s="24">
        <f>IF(H132="","",IF($I$93=0,"",H132/$I$93))</f>
        <v>4998.3755279534153</v>
      </c>
      <c r="J132" s="25">
        <f>IF(H132="","",IF($H$157=0,"",H132/$H$157))</f>
        <v>1.0819583446037328E-2</v>
      </c>
      <c r="K132" s="53"/>
      <c r="L132" s="55"/>
    </row>
    <row r="133" spans="1:12" ht="19.5" customHeight="1" x14ac:dyDescent="0.25">
      <c r="A133" s="1">
        <v>4</v>
      </c>
      <c r="B133" s="53"/>
      <c r="C133" s="54"/>
      <c r="D133" s="55"/>
      <c r="E133" s="9"/>
      <c r="F133" s="22"/>
      <c r="G133" s="23"/>
      <c r="H133" s="24" t="str">
        <f>IF(OR(F133="",G133=""),"",F133*G133)</f>
        <v/>
      </c>
      <c r="I133" s="24" t="str">
        <f>IF(H133="","",IF($I$93=0,"",H133/$I$93))</f>
        <v/>
      </c>
      <c r="J133" s="25" t="str">
        <f>IF(H133="","",IF($H$157=0,"",H133/$H$157))</f>
        <v/>
      </c>
      <c r="K133" s="53"/>
      <c r="L133" s="55"/>
    </row>
    <row r="134" spans="1:12" ht="31.5" customHeight="1" x14ac:dyDescent="0.25">
      <c r="A134" s="67" t="s">
        <v>210</v>
      </c>
      <c r="B134" s="61"/>
      <c r="C134" s="61"/>
      <c r="D134" s="61"/>
      <c r="E134" s="61"/>
      <c r="F134" s="61"/>
      <c r="G134" s="62"/>
      <c r="H134" s="26">
        <f>SUM(H130:H133)</f>
        <v>5500</v>
      </c>
      <c r="I134" s="26">
        <f>SUM(I130:I133)</f>
        <v>68727.663509359452</v>
      </c>
      <c r="J134" s="27">
        <f>IF($H$157=0,"",H134/$H$157)</f>
        <v>0.14876927238301324</v>
      </c>
      <c r="K134" s="94"/>
      <c r="L134" s="62"/>
    </row>
    <row r="135" spans="1:12" ht="31.5" customHeight="1" x14ac:dyDescent="0.25">
      <c r="A135" s="121" t="s">
        <v>211</v>
      </c>
      <c r="B135" s="61"/>
      <c r="C135" s="61"/>
      <c r="D135" s="61"/>
      <c r="E135" s="61"/>
      <c r="F135" s="61"/>
      <c r="G135" s="62"/>
      <c r="H135" s="28">
        <f>H112+H120+H128+H134</f>
        <v>35900</v>
      </c>
      <c r="I135" s="28">
        <f>I112+I120+I128+I134</f>
        <v>448604.20363381901</v>
      </c>
      <c r="J135" s="29">
        <f>IF($H$157=0,"",H135/$H$157)</f>
        <v>0.97105761428185011</v>
      </c>
      <c r="K135" s="136"/>
      <c r="L135" s="62"/>
    </row>
    <row r="136" spans="1:12" ht="31.5" customHeight="1" x14ac:dyDescent="0.25">
      <c r="A136" s="60" t="s">
        <v>212</v>
      </c>
      <c r="B136" s="61"/>
      <c r="C136" s="61"/>
      <c r="D136" s="61"/>
      <c r="E136" s="61"/>
      <c r="F136" s="61"/>
      <c r="G136" s="61"/>
      <c r="H136" s="61"/>
      <c r="I136" s="61"/>
      <c r="J136" s="61"/>
      <c r="K136" s="61"/>
      <c r="L136" s="62"/>
    </row>
    <row r="137" spans="1:12" ht="31.5" customHeight="1" x14ac:dyDescent="0.25">
      <c r="A137" s="64" t="s">
        <v>213</v>
      </c>
      <c r="B137" s="61"/>
      <c r="C137" s="61"/>
      <c r="D137" s="61"/>
      <c r="E137" s="61"/>
      <c r="F137" s="61"/>
      <c r="G137" s="61"/>
      <c r="H137" s="61"/>
      <c r="I137" s="61"/>
      <c r="J137" s="61"/>
      <c r="K137" s="61"/>
      <c r="L137" s="62"/>
    </row>
    <row r="138" spans="1:12" ht="30.95" customHeight="1" x14ac:dyDescent="0.25">
      <c r="A138" s="1">
        <v>1</v>
      </c>
      <c r="B138" s="53" t="s">
        <v>214</v>
      </c>
      <c r="C138" s="54"/>
      <c r="D138" s="55"/>
      <c r="E138" s="9" t="s">
        <v>189</v>
      </c>
      <c r="F138" s="22">
        <v>1</v>
      </c>
      <c r="G138" s="23">
        <v>600</v>
      </c>
      <c r="H138" s="24">
        <f>IF(OR(F138="",G138=""),"",F138*G138)</f>
        <v>600</v>
      </c>
      <c r="I138" s="24">
        <f>IF(H138="","",IF($I$93=0,"",H138/$I$93))</f>
        <v>7497.5632919301224</v>
      </c>
      <c r="J138" s="25">
        <f>IF(H138="","",IF($H$157=0,"",H138/$H$157))</f>
        <v>1.6229375169055992E-2</v>
      </c>
      <c r="K138" s="53"/>
      <c r="L138" s="55"/>
    </row>
    <row r="139" spans="1:12" ht="19.5" customHeight="1" x14ac:dyDescent="0.25">
      <c r="A139" s="1">
        <v>2</v>
      </c>
      <c r="B139" s="53"/>
      <c r="C139" s="54"/>
      <c r="D139" s="55"/>
      <c r="E139" s="9"/>
      <c r="F139" s="22"/>
      <c r="G139" s="23"/>
      <c r="H139" s="24" t="str">
        <f>IF(OR(F139="",G139=""),"",F139*G139)</f>
        <v/>
      </c>
      <c r="I139" s="24" t="str">
        <f>IF(H139="","",IF($I$93=0,"",H139/$I$93))</f>
        <v/>
      </c>
      <c r="J139" s="25" t="str">
        <f>IF(H139="","",IF($H$157=0,"",H139/$H$157))</f>
        <v/>
      </c>
      <c r="K139" s="53"/>
      <c r="L139" s="55"/>
    </row>
    <row r="140" spans="1:12" ht="19.5" customHeight="1" x14ac:dyDescent="0.25">
      <c r="A140" s="1">
        <v>3</v>
      </c>
      <c r="B140" s="53"/>
      <c r="C140" s="54"/>
      <c r="D140" s="55"/>
      <c r="E140" s="9"/>
      <c r="F140" s="22"/>
      <c r="G140" s="23"/>
      <c r="H140" s="24" t="str">
        <f>IF(OR(F140="",G140=""),"",F140*G140)</f>
        <v/>
      </c>
      <c r="I140" s="24" t="str">
        <f>IF(H140="","",IF($I$93=0,"",H140/$I$93))</f>
        <v/>
      </c>
      <c r="J140" s="25" t="str">
        <f>IF(H140="","",IF($H$157=0,"",H140/$H$157))</f>
        <v/>
      </c>
      <c r="K140" s="53"/>
      <c r="L140" s="55"/>
    </row>
    <row r="141" spans="1:12" ht="19.5" customHeight="1" x14ac:dyDescent="0.25">
      <c r="A141" s="1">
        <v>4</v>
      </c>
      <c r="B141" s="53"/>
      <c r="C141" s="54"/>
      <c r="D141" s="55"/>
      <c r="E141" s="9"/>
      <c r="F141" s="22"/>
      <c r="G141" s="23"/>
      <c r="H141" s="24" t="str">
        <f>IF(OR(F141="",G141=""),"",F141*G141)</f>
        <v/>
      </c>
      <c r="I141" s="24" t="str">
        <f>IF(H141="","",IF($I$93=0,"",H141/$I$93))</f>
        <v/>
      </c>
      <c r="J141" s="25" t="str">
        <f>IF(H141="","",IF($H$157=0,"",H141/$H$157))</f>
        <v/>
      </c>
      <c r="K141" s="53"/>
      <c r="L141" s="55"/>
    </row>
    <row r="142" spans="1:12" ht="19.5" customHeight="1" x14ac:dyDescent="0.25">
      <c r="A142" s="1">
        <v>5</v>
      </c>
      <c r="B142" s="53"/>
      <c r="C142" s="54"/>
      <c r="D142" s="55"/>
      <c r="E142" s="9"/>
      <c r="F142" s="22"/>
      <c r="G142" s="23"/>
      <c r="H142" s="24" t="str">
        <f>IF(OR(F142="",G142=""),"",F142*G142)</f>
        <v/>
      </c>
      <c r="I142" s="24" t="str">
        <f>IF(H142="","",IF($I$93=0,"",H142/$I$93))</f>
        <v/>
      </c>
      <c r="J142" s="25" t="str">
        <f>IF(H142="","",IF($H$157=0,"",H142/$H$157))</f>
        <v/>
      </c>
      <c r="K142" s="53"/>
      <c r="L142" s="55"/>
    </row>
    <row r="143" spans="1:12" ht="58.5" customHeight="1" x14ac:dyDescent="0.25">
      <c r="A143" s="103" t="s">
        <v>215</v>
      </c>
      <c r="B143" s="61"/>
      <c r="C143" s="61"/>
      <c r="D143" s="61"/>
      <c r="E143" s="61"/>
      <c r="F143" s="61"/>
      <c r="G143" s="62"/>
      <c r="H143" s="30">
        <f>SUM(H138:H142)</f>
        <v>600</v>
      </c>
      <c r="I143" s="30">
        <f>SUM(I138:I142)</f>
        <v>7497.5632919301224</v>
      </c>
      <c r="J143" s="31">
        <f>IF($H$157=0,"",H143/$H$157)</f>
        <v>1.6229375169055992E-2</v>
      </c>
      <c r="K143" s="66"/>
      <c r="L143" s="62"/>
    </row>
    <row r="144" spans="1:12" ht="31.5" customHeight="1" x14ac:dyDescent="0.25">
      <c r="A144" s="64" t="s">
        <v>216</v>
      </c>
      <c r="B144" s="61"/>
      <c r="C144" s="61"/>
      <c r="D144" s="61"/>
      <c r="E144" s="61"/>
      <c r="F144" s="61"/>
      <c r="G144" s="61"/>
      <c r="H144" s="61"/>
      <c r="I144" s="61"/>
      <c r="J144" s="61"/>
      <c r="K144" s="61"/>
      <c r="L144" s="62"/>
    </row>
    <row r="145" spans="1:12" ht="30.95" customHeight="1" x14ac:dyDescent="0.25">
      <c r="A145" s="1">
        <v>1</v>
      </c>
      <c r="B145" s="53" t="s">
        <v>217</v>
      </c>
      <c r="C145" s="54"/>
      <c r="D145" s="55"/>
      <c r="E145" s="9" t="s">
        <v>189</v>
      </c>
      <c r="F145" s="22">
        <v>1</v>
      </c>
      <c r="G145" s="23">
        <v>120</v>
      </c>
      <c r="H145" s="24">
        <f>IF(OR(F145="",G145=""),"",F145*G145)</f>
        <v>120</v>
      </c>
      <c r="I145" s="24">
        <f>IF(H145="","",IF($I$93=0,"",H145/$I$93))</f>
        <v>1499.5126583860244</v>
      </c>
      <c r="J145" s="25">
        <f>IF(H145="","",IF($H$157=0,"",H145/$H$157))</f>
        <v>3.2458750338111983E-3</v>
      </c>
      <c r="K145" s="53"/>
      <c r="L145" s="55"/>
    </row>
    <row r="146" spans="1:12" ht="19.5" customHeight="1" x14ac:dyDescent="0.25">
      <c r="A146" s="1">
        <v>2</v>
      </c>
      <c r="B146" s="53"/>
      <c r="C146" s="54"/>
      <c r="D146" s="55"/>
      <c r="E146" s="9"/>
      <c r="F146" s="22"/>
      <c r="G146" s="23"/>
      <c r="H146" s="24" t="str">
        <f>IF(OR(F146="",G146=""),"",F146*G146)</f>
        <v/>
      </c>
      <c r="I146" s="24" t="str">
        <f>IF(H146="","",IF($I$93=0,"",H146/$I$93))</f>
        <v/>
      </c>
      <c r="J146" s="25" t="str">
        <f>IF(H146="","",IF($H$157=0,"",H146/$H$157))</f>
        <v/>
      </c>
      <c r="K146" s="53"/>
      <c r="L146" s="55"/>
    </row>
    <row r="147" spans="1:12" ht="19.5" customHeight="1" x14ac:dyDescent="0.25">
      <c r="A147" s="1">
        <v>3</v>
      </c>
      <c r="B147" s="53"/>
      <c r="C147" s="54"/>
      <c r="D147" s="55"/>
      <c r="E147" s="9"/>
      <c r="F147" s="22"/>
      <c r="G147" s="23"/>
      <c r="H147" s="24" t="str">
        <f>IF(OR(F147="",G147=""),"",F147*G147)</f>
        <v/>
      </c>
      <c r="I147" s="24" t="str">
        <f>IF(H147="","",IF($I$93=0,"",H147/$I$93))</f>
        <v/>
      </c>
      <c r="J147" s="25" t="str">
        <f>IF(H147="","",IF($H$157=0,"",H147/$H$157))</f>
        <v/>
      </c>
      <c r="K147" s="53"/>
      <c r="L147" s="55"/>
    </row>
    <row r="148" spans="1:12" ht="19.5" customHeight="1" x14ac:dyDescent="0.25">
      <c r="A148" s="1">
        <v>4</v>
      </c>
      <c r="B148" s="53"/>
      <c r="C148" s="54"/>
      <c r="D148" s="55"/>
      <c r="E148" s="9"/>
      <c r="F148" s="22"/>
      <c r="G148" s="23"/>
      <c r="H148" s="24" t="str">
        <f>IF(OR(F148="",G148=""),"",F148*G148)</f>
        <v/>
      </c>
      <c r="I148" s="24" t="str">
        <f>IF(H148="","",IF($I$93=0,"",H148/$I$93))</f>
        <v/>
      </c>
      <c r="J148" s="25" t="str">
        <f>IF(H148="","",IF($H$157=0,"",H148/$H$157))</f>
        <v/>
      </c>
      <c r="K148" s="53"/>
      <c r="L148" s="55"/>
    </row>
    <row r="149" spans="1:12" ht="46.5" customHeight="1" x14ac:dyDescent="0.25">
      <c r="A149" s="103" t="s">
        <v>218</v>
      </c>
      <c r="B149" s="61"/>
      <c r="C149" s="61"/>
      <c r="D149" s="61"/>
      <c r="E149" s="61"/>
      <c r="F149" s="61"/>
      <c r="G149" s="62"/>
      <c r="H149" s="30">
        <f>SUM(H145:H148)</f>
        <v>120</v>
      </c>
      <c r="I149" s="30">
        <f>SUM(I145:I148)</f>
        <v>1499.5126583860244</v>
      </c>
      <c r="J149" s="31">
        <f>IF($H$157=0,"",H149/$H$157)</f>
        <v>3.2458750338111983E-3</v>
      </c>
      <c r="K149" s="66"/>
      <c r="L149" s="62"/>
    </row>
    <row r="150" spans="1:12" ht="31.5" customHeight="1" x14ac:dyDescent="0.25">
      <c r="A150" s="64" t="s">
        <v>219</v>
      </c>
      <c r="B150" s="61"/>
      <c r="C150" s="61"/>
      <c r="D150" s="61"/>
      <c r="E150" s="61"/>
      <c r="F150" s="61"/>
      <c r="G150" s="61"/>
      <c r="H150" s="61"/>
      <c r="I150" s="61"/>
      <c r="J150" s="61"/>
      <c r="K150" s="61"/>
      <c r="L150" s="62"/>
    </row>
    <row r="151" spans="1:12" ht="30.95" customHeight="1" x14ac:dyDescent="0.25">
      <c r="A151" s="1">
        <v>1</v>
      </c>
      <c r="B151" s="53" t="s">
        <v>220</v>
      </c>
      <c r="C151" s="54"/>
      <c r="D151" s="55"/>
      <c r="E151" s="9" t="s">
        <v>189</v>
      </c>
      <c r="F151" s="22">
        <v>1</v>
      </c>
      <c r="G151" s="23">
        <v>350</v>
      </c>
      <c r="H151" s="24">
        <f>IF(OR(F151="",G151=""),"",F151*G151)</f>
        <v>350</v>
      </c>
      <c r="I151" s="24">
        <f>IF(H151="","",IF($I$93=0,"",H151/$I$93))</f>
        <v>4373.5785869592382</v>
      </c>
      <c r="J151" s="25">
        <f>IF(H151="","",IF($H$157=0,"",H151/$H$157))</f>
        <v>9.4671355152826618E-3</v>
      </c>
      <c r="K151" s="53"/>
      <c r="L151" s="55"/>
    </row>
    <row r="152" spans="1:12" ht="19.5" customHeight="1" x14ac:dyDescent="0.25">
      <c r="A152" s="1">
        <v>2</v>
      </c>
      <c r="B152" s="53"/>
      <c r="C152" s="54"/>
      <c r="D152" s="55"/>
      <c r="E152" s="9"/>
      <c r="F152" s="22"/>
      <c r="G152" s="23"/>
      <c r="H152" s="24" t="str">
        <f>IF(OR(F152="",G152=""),"",F152*G152)</f>
        <v/>
      </c>
      <c r="I152" s="24" t="str">
        <f>IF(H152="","",IF($I$93=0,"",H152/$I$93))</f>
        <v/>
      </c>
      <c r="J152" s="25" t="str">
        <f>IF(H152="","",IF($H$157=0,"",H152/$H$157))</f>
        <v/>
      </c>
      <c r="K152" s="53"/>
      <c r="L152" s="55"/>
    </row>
    <row r="153" spans="1:12" ht="19.5" customHeight="1" x14ac:dyDescent="0.25">
      <c r="A153" s="1">
        <v>3</v>
      </c>
      <c r="B153" s="53"/>
      <c r="C153" s="54"/>
      <c r="D153" s="55"/>
      <c r="E153" s="9"/>
      <c r="F153" s="22"/>
      <c r="G153" s="23"/>
      <c r="H153" s="24" t="str">
        <f>IF(OR(F153="",G153=""),"",F153*G153)</f>
        <v/>
      </c>
      <c r="I153" s="24" t="str">
        <f>IF(H153="","",IF($I$93=0,"",H153/$I$93))</f>
        <v/>
      </c>
      <c r="J153" s="25" t="str">
        <f>IF(H153="","",IF($H$157=0,"",H153/$H$157))</f>
        <v/>
      </c>
      <c r="K153" s="53"/>
      <c r="L153" s="55"/>
    </row>
    <row r="154" spans="1:12" ht="19.5" customHeight="1" x14ac:dyDescent="0.25">
      <c r="A154" s="1">
        <v>4</v>
      </c>
      <c r="B154" s="53"/>
      <c r="C154" s="54"/>
      <c r="D154" s="55"/>
      <c r="E154" s="9"/>
      <c r="F154" s="22"/>
      <c r="G154" s="23"/>
      <c r="H154" s="24" t="str">
        <f>IF(OR(F154="",G154=""),"",F154*G154)</f>
        <v/>
      </c>
      <c r="I154" s="24" t="str">
        <f>IF(H154="","",IF($I$93=0,"",H154/$I$93))</f>
        <v/>
      </c>
      <c r="J154" s="25" t="str">
        <f>IF(H154="","",IF($H$157=0,"",H154/$H$157))</f>
        <v/>
      </c>
      <c r="K154" s="53"/>
      <c r="L154" s="55"/>
    </row>
    <row r="155" spans="1:12" ht="31.5" customHeight="1" x14ac:dyDescent="0.25">
      <c r="A155" s="103" t="s">
        <v>221</v>
      </c>
      <c r="B155" s="61"/>
      <c r="C155" s="61"/>
      <c r="D155" s="61"/>
      <c r="E155" s="61"/>
      <c r="F155" s="61"/>
      <c r="G155" s="62"/>
      <c r="H155" s="30">
        <f>SUM(H151:H154)</f>
        <v>350</v>
      </c>
      <c r="I155" s="30">
        <f>SUM(I151:I154)</f>
        <v>4373.5785869592382</v>
      </c>
      <c r="J155" s="31">
        <f>IF($H$157=0,"",H155/$H$157)</f>
        <v>9.4671355152826618E-3</v>
      </c>
      <c r="K155" s="66"/>
      <c r="L155" s="62"/>
    </row>
    <row r="156" spans="1:12" ht="31.5" customHeight="1" x14ac:dyDescent="0.25">
      <c r="A156" s="60" t="s">
        <v>222</v>
      </c>
      <c r="B156" s="61"/>
      <c r="C156" s="61"/>
      <c r="D156" s="61"/>
      <c r="E156" s="61"/>
      <c r="F156" s="61"/>
      <c r="G156" s="62"/>
      <c r="H156" s="32">
        <f>H143+H149+H155</f>
        <v>1070</v>
      </c>
      <c r="I156" s="32">
        <f>I143+I149+I155</f>
        <v>13370.654537275384</v>
      </c>
      <c r="J156" s="33">
        <f>IF($H$157=0,"",H156/$H$157)</f>
        <v>2.894238571814985E-2</v>
      </c>
      <c r="K156" s="142"/>
      <c r="L156" s="62"/>
    </row>
    <row r="157" spans="1:12" ht="31.5" customHeight="1" x14ac:dyDescent="0.25">
      <c r="A157" s="119" t="s">
        <v>223</v>
      </c>
      <c r="B157" s="61"/>
      <c r="C157" s="61"/>
      <c r="D157" s="61"/>
      <c r="E157" s="61"/>
      <c r="F157" s="61"/>
      <c r="G157" s="62"/>
      <c r="H157" s="34">
        <f>H135+H156</f>
        <v>36970</v>
      </c>
      <c r="I157" s="34">
        <f>I135+I156</f>
        <v>461974.85817109438</v>
      </c>
      <c r="J157" s="35">
        <f>IF(H157=0,"",1)</f>
        <v>1</v>
      </c>
      <c r="K157" s="73"/>
      <c r="L157" s="62"/>
    </row>
    <row r="158" spans="1:12" ht="60.75" customHeight="1" x14ac:dyDescent="0.25">
      <c r="A158" s="121" t="s">
        <v>224</v>
      </c>
      <c r="B158" s="61"/>
      <c r="C158" s="61"/>
      <c r="D158" s="61"/>
      <c r="E158" s="61"/>
      <c r="F158" s="61"/>
      <c r="G158" s="61"/>
      <c r="H158" s="61"/>
      <c r="I158" s="61"/>
      <c r="J158" s="61"/>
      <c r="K158" s="61"/>
      <c r="L158" s="62"/>
    </row>
    <row r="159" spans="1:12" ht="58.5" customHeight="1" x14ac:dyDescent="0.25">
      <c r="A159" s="21" t="s">
        <v>77</v>
      </c>
      <c r="B159" s="110" t="s">
        <v>175</v>
      </c>
      <c r="C159" s="61"/>
      <c r="D159" s="62"/>
      <c r="E159" s="21" t="s">
        <v>176</v>
      </c>
      <c r="F159" s="21" t="s">
        <v>177</v>
      </c>
      <c r="G159" s="21" t="s">
        <v>178</v>
      </c>
      <c r="H159" s="21" t="s">
        <v>179</v>
      </c>
      <c r="I159" s="21" t="s">
        <v>180</v>
      </c>
      <c r="J159" s="21"/>
      <c r="K159" s="130" t="s">
        <v>225</v>
      </c>
      <c r="L159" s="62"/>
    </row>
    <row r="160" spans="1:12" ht="44.45" customHeight="1" x14ac:dyDescent="0.25">
      <c r="A160" s="1" t="s">
        <v>226</v>
      </c>
      <c r="B160" s="53" t="s">
        <v>227</v>
      </c>
      <c r="C160" s="54"/>
      <c r="D160" s="55"/>
      <c r="E160" s="9" t="s">
        <v>228</v>
      </c>
      <c r="F160" s="22">
        <v>100</v>
      </c>
      <c r="G160" s="23">
        <v>25</v>
      </c>
      <c r="H160" s="24">
        <f t="shared" ref="H160:H167" si="9">IF(OR(F160="",G160=""),"",F160*G160)</f>
        <v>2500</v>
      </c>
      <c r="I160" s="24">
        <f t="shared" ref="I160:I167" si="10">IF(H160="","",IF($I$93=0,"",H160/$I$93))</f>
        <v>31239.847049708846</v>
      </c>
      <c r="J160" s="25"/>
      <c r="K160" s="53"/>
      <c r="L160" s="55"/>
    </row>
    <row r="161" spans="1:12" ht="44.45" customHeight="1" x14ac:dyDescent="0.25">
      <c r="A161" s="1" t="s">
        <v>88</v>
      </c>
      <c r="B161" s="53" t="s">
        <v>229</v>
      </c>
      <c r="C161" s="54"/>
      <c r="D161" s="55"/>
      <c r="E161" s="9" t="s">
        <v>189</v>
      </c>
      <c r="F161" s="22">
        <v>1</v>
      </c>
      <c r="G161" s="23">
        <v>1200</v>
      </c>
      <c r="H161" s="24">
        <f t="shared" si="9"/>
        <v>1200</v>
      </c>
      <c r="I161" s="24">
        <f t="shared" si="10"/>
        <v>14995.126583860245</v>
      </c>
      <c r="J161" s="25"/>
      <c r="K161" s="53"/>
      <c r="L161" s="55"/>
    </row>
    <row r="162" spans="1:12" ht="30.95" customHeight="1" x14ac:dyDescent="0.25">
      <c r="A162" s="1" t="s">
        <v>230</v>
      </c>
      <c r="B162" s="53" t="s">
        <v>231</v>
      </c>
      <c r="C162" s="54"/>
      <c r="D162" s="55"/>
      <c r="E162" s="9" t="s">
        <v>189</v>
      </c>
      <c r="F162" s="22">
        <v>1</v>
      </c>
      <c r="G162" s="23">
        <v>800</v>
      </c>
      <c r="H162" s="24">
        <f t="shared" si="9"/>
        <v>800</v>
      </c>
      <c r="I162" s="24">
        <f t="shared" si="10"/>
        <v>9996.7510559068305</v>
      </c>
      <c r="J162" s="25"/>
      <c r="K162" s="53"/>
      <c r="L162" s="55"/>
    </row>
    <row r="163" spans="1:12" ht="30.95" customHeight="1" x14ac:dyDescent="0.25">
      <c r="A163" s="1" t="s">
        <v>232</v>
      </c>
      <c r="B163" s="53" t="s">
        <v>233</v>
      </c>
      <c r="C163" s="54"/>
      <c r="D163" s="55"/>
      <c r="E163" s="9" t="s">
        <v>189</v>
      </c>
      <c r="F163" s="22">
        <v>1</v>
      </c>
      <c r="G163" s="23">
        <v>500</v>
      </c>
      <c r="H163" s="24">
        <f t="shared" si="9"/>
        <v>500</v>
      </c>
      <c r="I163" s="24">
        <f t="shared" si="10"/>
        <v>6247.9694099417693</v>
      </c>
      <c r="J163" s="25"/>
      <c r="K163" s="53"/>
      <c r="L163" s="55"/>
    </row>
    <row r="164" spans="1:12" ht="19.5" customHeight="1" x14ac:dyDescent="0.25">
      <c r="A164" s="1" t="s">
        <v>234</v>
      </c>
      <c r="B164" s="53"/>
      <c r="C164" s="54"/>
      <c r="D164" s="55"/>
      <c r="E164" s="9"/>
      <c r="F164" s="22"/>
      <c r="G164" s="23"/>
      <c r="H164" s="24" t="str">
        <f t="shared" si="9"/>
        <v/>
      </c>
      <c r="I164" s="24" t="str">
        <f t="shared" si="10"/>
        <v/>
      </c>
      <c r="J164" s="25"/>
      <c r="K164" s="53"/>
      <c r="L164" s="55"/>
    </row>
    <row r="165" spans="1:12" ht="19.5" customHeight="1" x14ac:dyDescent="0.25">
      <c r="A165" s="1" t="s">
        <v>235</v>
      </c>
      <c r="B165" s="53"/>
      <c r="C165" s="54"/>
      <c r="D165" s="55"/>
      <c r="E165" s="9"/>
      <c r="F165" s="22"/>
      <c r="G165" s="23"/>
      <c r="H165" s="24" t="str">
        <f t="shared" si="9"/>
        <v/>
      </c>
      <c r="I165" s="24" t="str">
        <f t="shared" si="10"/>
        <v/>
      </c>
      <c r="J165" s="25"/>
      <c r="K165" s="53"/>
      <c r="L165" s="55"/>
    </row>
    <row r="166" spans="1:12" ht="19.5" customHeight="1" x14ac:dyDescent="0.25">
      <c r="A166" s="1" t="s">
        <v>236</v>
      </c>
      <c r="B166" s="53"/>
      <c r="C166" s="54"/>
      <c r="D166" s="55"/>
      <c r="E166" s="9"/>
      <c r="F166" s="22"/>
      <c r="G166" s="23"/>
      <c r="H166" s="24" t="str">
        <f t="shared" si="9"/>
        <v/>
      </c>
      <c r="I166" s="24" t="str">
        <f t="shared" si="10"/>
        <v/>
      </c>
      <c r="J166" s="25"/>
      <c r="K166" s="53"/>
      <c r="L166" s="55"/>
    </row>
    <row r="167" spans="1:12" ht="19.5" customHeight="1" x14ac:dyDescent="0.25">
      <c r="A167" s="1" t="s">
        <v>237</v>
      </c>
      <c r="B167" s="53"/>
      <c r="C167" s="54"/>
      <c r="D167" s="55"/>
      <c r="E167" s="9"/>
      <c r="F167" s="22"/>
      <c r="G167" s="23"/>
      <c r="H167" s="24" t="str">
        <f t="shared" si="9"/>
        <v/>
      </c>
      <c r="I167" s="24" t="str">
        <f t="shared" si="10"/>
        <v/>
      </c>
      <c r="J167" s="25"/>
      <c r="K167" s="53"/>
      <c r="L167" s="55"/>
    </row>
    <row r="168" spans="1:12" ht="58.5" customHeight="1" x14ac:dyDescent="0.25">
      <c r="A168" s="121" t="s">
        <v>238</v>
      </c>
      <c r="B168" s="61"/>
      <c r="C168" s="61"/>
      <c r="D168" s="61"/>
      <c r="E168" s="61"/>
      <c r="F168" s="61"/>
      <c r="G168" s="62"/>
      <c r="H168" s="28">
        <f>SUM(H160:H167)</f>
        <v>5000</v>
      </c>
      <c r="I168" s="28">
        <f>SUM(I160:I167)</f>
        <v>62479.694099417691</v>
      </c>
      <c r="J168" s="36"/>
      <c r="K168" s="136"/>
      <c r="L168" s="62"/>
    </row>
    <row r="169" spans="1:12" ht="31.5" customHeight="1" x14ac:dyDescent="0.25">
      <c r="A169" s="74" t="s">
        <v>239</v>
      </c>
      <c r="B169" s="61"/>
      <c r="C169" s="61"/>
      <c r="D169" s="61"/>
      <c r="E169" s="61"/>
      <c r="F169" s="61"/>
      <c r="G169" s="61"/>
      <c r="H169" s="61"/>
      <c r="I169" s="61"/>
      <c r="J169" s="61"/>
      <c r="K169" s="61"/>
      <c r="L169" s="62"/>
    </row>
    <row r="170" spans="1:12" ht="31.5" customHeight="1" x14ac:dyDescent="0.25">
      <c r="A170" s="118" t="s">
        <v>240</v>
      </c>
      <c r="B170" s="61"/>
      <c r="C170" s="61"/>
      <c r="D170" s="61"/>
      <c r="E170" s="61"/>
      <c r="F170" s="61"/>
      <c r="G170" s="62"/>
      <c r="H170" s="24">
        <f>H156</f>
        <v>1070</v>
      </c>
      <c r="I170" s="24">
        <f>I156</f>
        <v>13370.654537275384</v>
      </c>
      <c r="J170" s="25">
        <f>IF($H$157=0,"",H156/$H$157)</f>
        <v>2.894238571814985E-2</v>
      </c>
      <c r="K170" s="93" t="str">
        <f>IF($H$157=0,"",IF(J170&gt;0.08,"EXCEEDS THE 8 % LIMIT / PŘEKRAČUJE LIMIT 8 %","within limit / v limitu"))</f>
        <v>within limit / v limitu</v>
      </c>
      <c r="L170" s="62"/>
    </row>
    <row r="171" spans="1:12" ht="58.5" customHeight="1" x14ac:dyDescent="0.25">
      <c r="A171" s="118" t="s">
        <v>241</v>
      </c>
      <c r="B171" s="61"/>
      <c r="C171" s="61"/>
      <c r="D171" s="61"/>
      <c r="E171" s="61"/>
      <c r="F171" s="61"/>
      <c r="G171" s="62"/>
      <c r="H171" s="37">
        <v>0.03</v>
      </c>
      <c r="I171" s="74" t="s">
        <v>242</v>
      </c>
      <c r="J171" s="61"/>
      <c r="K171" s="61"/>
      <c r="L171" s="62"/>
    </row>
    <row r="172" spans="1:12" ht="31.5" customHeight="1" x14ac:dyDescent="0.25">
      <c r="A172" s="118" t="s">
        <v>243</v>
      </c>
      <c r="B172" s="61"/>
      <c r="C172" s="61"/>
      <c r="D172" s="61"/>
      <c r="E172" s="61"/>
      <c r="F172" s="61"/>
      <c r="G172" s="62"/>
      <c r="H172" s="24"/>
      <c r="I172" s="24">
        <f>IF(I157=0,"",I157*H171)</f>
        <v>13859.245745132832</v>
      </c>
      <c r="J172" s="86"/>
      <c r="K172" s="61"/>
      <c r="L172" s="62"/>
    </row>
    <row r="173" spans="1:12" ht="53.25" customHeight="1" x14ac:dyDescent="0.25">
      <c r="A173" s="119" t="s">
        <v>244</v>
      </c>
      <c r="B173" s="61"/>
      <c r="C173" s="61"/>
      <c r="D173" s="61"/>
      <c r="E173" s="61"/>
      <c r="F173" s="61"/>
      <c r="G173" s="62"/>
      <c r="H173" s="34"/>
      <c r="I173" s="34">
        <f>IF(I157=0,"",I157+I172)</f>
        <v>475834.10391622724</v>
      </c>
      <c r="J173" s="38"/>
      <c r="K173" s="99" t="str">
        <f>IF(OR(I157=0,I173=""),"",IF(OR(I173&lt;250000,I173&gt;500000),"OUTSIDE THE 250 000 - 500 000 CZK RANGE / MIMO ROZMEZÍ 250 000 - 500 000 Kč","within range / v rozmezí"))</f>
        <v>within range / v rozmezí</v>
      </c>
      <c r="L173" s="62"/>
    </row>
    <row r="174" spans="1:12" ht="84.95" customHeight="1" x14ac:dyDescent="0.25">
      <c r="A174" s="74" t="s">
        <v>245</v>
      </c>
      <c r="B174" s="61"/>
      <c r="C174" s="61"/>
      <c r="D174" s="61"/>
      <c r="E174" s="61"/>
      <c r="F174" s="61"/>
      <c r="G174" s="61"/>
      <c r="H174" s="61"/>
      <c r="I174" s="61"/>
      <c r="J174" s="61"/>
      <c r="K174" s="61"/>
      <c r="L174" s="62"/>
    </row>
    <row r="175" spans="1:12" ht="44.45" customHeight="1" x14ac:dyDescent="0.25">
      <c r="A175" s="74" t="s">
        <v>246</v>
      </c>
      <c r="B175" s="61"/>
      <c r="C175" s="61"/>
      <c r="D175" s="61"/>
      <c r="E175" s="61"/>
      <c r="F175" s="61"/>
      <c r="G175" s="61"/>
      <c r="H175" s="61"/>
      <c r="I175" s="61"/>
      <c r="J175" s="61"/>
      <c r="K175" s="61"/>
      <c r="L175" s="62"/>
    </row>
    <row r="176" spans="1:12" ht="233.45" customHeight="1" x14ac:dyDescent="0.25">
      <c r="A176" s="74" t="s">
        <v>247</v>
      </c>
      <c r="B176" s="61"/>
      <c r="C176" s="61"/>
      <c r="D176" s="61"/>
      <c r="E176" s="61"/>
      <c r="F176" s="61"/>
      <c r="G176" s="61"/>
      <c r="H176" s="61"/>
      <c r="I176" s="61"/>
      <c r="J176" s="61"/>
      <c r="K176" s="61"/>
      <c r="L176" s="62"/>
    </row>
    <row r="177" spans="1:12" ht="31.5" customHeight="1" x14ac:dyDescent="0.25">
      <c r="A177" s="74" t="s">
        <v>248</v>
      </c>
      <c r="B177" s="61"/>
      <c r="C177" s="61"/>
      <c r="D177" s="61"/>
      <c r="E177" s="61"/>
      <c r="F177" s="61"/>
      <c r="G177" s="61"/>
      <c r="H177" s="61"/>
      <c r="I177" s="61"/>
      <c r="J177" s="61"/>
      <c r="K177" s="61"/>
      <c r="L177" s="62"/>
    </row>
    <row r="178" spans="1:12" ht="37.5" customHeight="1" x14ac:dyDescent="0.25">
      <c r="A178" s="80" t="s">
        <v>249</v>
      </c>
      <c r="B178" s="81"/>
      <c r="C178" s="81"/>
      <c r="D178" s="81"/>
      <c r="E178" s="81"/>
      <c r="F178" s="81"/>
      <c r="G178" s="81"/>
      <c r="H178" s="81"/>
      <c r="I178" s="81"/>
      <c r="J178" s="81"/>
      <c r="K178" s="81"/>
      <c r="L178" s="82"/>
    </row>
    <row r="179" spans="1:12" ht="31.5" customHeight="1" x14ac:dyDescent="0.25">
      <c r="A179" s="146" t="s">
        <v>250</v>
      </c>
      <c r="B179" s="70"/>
      <c r="C179" s="70"/>
      <c r="D179" s="70"/>
      <c r="E179" s="70"/>
      <c r="F179" s="70"/>
      <c r="G179" s="70"/>
      <c r="H179" s="70"/>
      <c r="I179" s="70"/>
      <c r="J179" s="70"/>
      <c r="K179" s="70"/>
      <c r="L179" s="71"/>
    </row>
    <row r="180" spans="1:12" ht="31.5" customHeight="1" x14ac:dyDescent="0.25">
      <c r="A180" s="68" t="s">
        <v>251</v>
      </c>
      <c r="B180" s="61"/>
      <c r="C180" s="61"/>
      <c r="D180" s="62"/>
      <c r="E180" s="53"/>
      <c r="F180" s="54"/>
      <c r="G180" s="54"/>
      <c r="H180" s="54"/>
      <c r="I180" s="54"/>
      <c r="J180" s="54"/>
      <c r="K180" s="54"/>
      <c r="L180" s="55"/>
    </row>
    <row r="181" spans="1:12" ht="58.5" customHeight="1" x14ac:dyDescent="0.25">
      <c r="A181" s="68" t="s">
        <v>252</v>
      </c>
      <c r="B181" s="61"/>
      <c r="C181" s="61"/>
      <c r="D181" s="62"/>
      <c r="E181" s="53"/>
      <c r="F181" s="54"/>
      <c r="G181" s="54"/>
      <c r="H181" s="54"/>
      <c r="I181" s="54"/>
      <c r="J181" s="54"/>
      <c r="K181" s="54"/>
      <c r="L181" s="55"/>
    </row>
    <row r="182" spans="1:12" ht="44.45" customHeight="1" x14ac:dyDescent="0.25">
      <c r="A182" s="120" t="s">
        <v>253</v>
      </c>
      <c r="B182" s="84"/>
      <c r="C182" s="84"/>
      <c r="D182" s="85"/>
      <c r="E182" s="90"/>
      <c r="F182" s="91"/>
      <c r="G182" s="91"/>
      <c r="H182" s="91"/>
      <c r="I182" s="91"/>
      <c r="J182" s="91"/>
      <c r="K182" s="91"/>
      <c r="L182" s="92"/>
    </row>
    <row r="183" spans="1:12" ht="31.5" customHeight="1" x14ac:dyDescent="0.25">
      <c r="A183" s="63" t="s">
        <v>254</v>
      </c>
      <c r="B183" s="61"/>
      <c r="C183" s="61"/>
      <c r="D183" s="61"/>
      <c r="E183" s="61"/>
      <c r="F183" s="61"/>
      <c r="G183" s="61"/>
      <c r="H183" s="61"/>
      <c r="I183" s="61"/>
      <c r="J183" s="61"/>
      <c r="K183" s="61"/>
      <c r="L183" s="62"/>
    </row>
    <row r="184" spans="1:12" ht="69.75" customHeight="1" x14ac:dyDescent="0.25">
      <c r="A184" s="56"/>
      <c r="B184" s="54"/>
      <c r="C184" s="54"/>
      <c r="D184" s="54"/>
      <c r="E184" s="54"/>
      <c r="F184" s="54"/>
      <c r="G184" s="54"/>
      <c r="H184" s="54"/>
      <c r="I184" s="54"/>
      <c r="J184" s="54"/>
      <c r="K184" s="55"/>
      <c r="L184" s="39" t="str">
        <f>LEN(A184)&amp;" / 600"</f>
        <v>0 / 600</v>
      </c>
    </row>
    <row r="185" spans="1:12" ht="37.5" customHeight="1" x14ac:dyDescent="0.25">
      <c r="A185" s="80" t="s">
        <v>255</v>
      </c>
      <c r="B185" s="81"/>
      <c r="C185" s="81"/>
      <c r="D185" s="81"/>
      <c r="E185" s="81"/>
      <c r="F185" s="81"/>
      <c r="G185" s="81"/>
      <c r="H185" s="81"/>
      <c r="I185" s="81"/>
      <c r="J185" s="81"/>
      <c r="K185" s="81"/>
      <c r="L185" s="82"/>
    </row>
    <row r="186" spans="1:12" ht="31.5" customHeight="1" x14ac:dyDescent="0.25">
      <c r="A186" s="68" t="s">
        <v>256</v>
      </c>
      <c r="B186" s="61"/>
      <c r="C186" s="61"/>
      <c r="D186" s="62"/>
      <c r="E186" s="53" t="s">
        <v>257</v>
      </c>
      <c r="F186" s="54"/>
      <c r="G186" s="54"/>
      <c r="H186" s="54"/>
      <c r="I186" s="54"/>
      <c r="J186" s="54"/>
      <c r="K186" s="54"/>
      <c r="L186" s="55"/>
    </row>
    <row r="187" spans="1:12" ht="31.5" customHeight="1" x14ac:dyDescent="0.25">
      <c r="A187" s="68" t="s">
        <v>258</v>
      </c>
      <c r="B187" s="61"/>
      <c r="C187" s="61"/>
      <c r="D187" s="62"/>
      <c r="E187" s="53" t="s">
        <v>259</v>
      </c>
      <c r="F187" s="54"/>
      <c r="G187" s="54"/>
      <c r="H187" s="54"/>
      <c r="I187" s="54"/>
      <c r="J187" s="54"/>
      <c r="K187" s="54"/>
      <c r="L187" s="55"/>
    </row>
    <row r="188" spans="1:12" ht="31.5" customHeight="1" x14ac:dyDescent="0.25">
      <c r="A188" s="68" t="s">
        <v>260</v>
      </c>
      <c r="B188" s="61"/>
      <c r="C188" s="61"/>
      <c r="D188" s="62"/>
      <c r="E188" s="53" t="s">
        <v>261</v>
      </c>
      <c r="F188" s="54"/>
      <c r="G188" s="54"/>
      <c r="H188" s="54"/>
      <c r="I188" s="54"/>
      <c r="J188" s="54"/>
      <c r="K188" s="54"/>
      <c r="L188" s="55"/>
    </row>
    <row r="189" spans="1:12" ht="31.5" customHeight="1" x14ac:dyDescent="0.25">
      <c r="A189" s="68" t="s">
        <v>262</v>
      </c>
      <c r="B189" s="61"/>
      <c r="C189" s="61"/>
      <c r="D189" s="62"/>
      <c r="E189" s="53" t="s">
        <v>24</v>
      </c>
      <c r="F189" s="54"/>
      <c r="G189" s="54"/>
      <c r="H189" s="54"/>
      <c r="I189" s="54"/>
      <c r="J189" s="54"/>
      <c r="K189" s="54"/>
      <c r="L189" s="55"/>
    </row>
    <row r="190" spans="1:12" ht="31.5" customHeight="1" x14ac:dyDescent="0.25">
      <c r="A190" s="68" t="s">
        <v>25</v>
      </c>
      <c r="B190" s="61"/>
      <c r="C190" s="61"/>
      <c r="D190" s="62"/>
      <c r="E190" s="53" t="s">
        <v>26</v>
      </c>
      <c r="F190" s="54"/>
      <c r="G190" s="54"/>
      <c r="H190" s="54"/>
      <c r="I190" s="54"/>
      <c r="J190" s="54"/>
      <c r="K190" s="54"/>
      <c r="L190" s="55"/>
    </row>
    <row r="191" spans="1:12" ht="39.75" customHeight="1" x14ac:dyDescent="0.25">
      <c r="A191" s="68" t="s">
        <v>263</v>
      </c>
      <c r="B191" s="61"/>
      <c r="C191" s="61"/>
      <c r="D191" s="62"/>
      <c r="E191" s="53"/>
      <c r="F191" s="54"/>
      <c r="G191" s="54"/>
      <c r="H191" s="54"/>
      <c r="I191" s="54"/>
      <c r="J191" s="54"/>
      <c r="K191" s="54"/>
      <c r="L191" s="55"/>
    </row>
    <row r="192" spans="1:12" ht="151.5" customHeight="1" x14ac:dyDescent="0.25">
      <c r="A192" s="63" t="s">
        <v>264</v>
      </c>
      <c r="B192" s="61"/>
      <c r="C192" s="61"/>
      <c r="D192" s="61"/>
      <c r="E192" s="61"/>
      <c r="F192" s="61"/>
      <c r="G192" s="61"/>
      <c r="H192" s="61"/>
      <c r="I192" s="61"/>
      <c r="J192" s="61"/>
      <c r="K192" s="61"/>
      <c r="L192" s="62"/>
    </row>
  </sheetData>
  <sheetProtection sheet="1" formatCells="0" formatColumns="0" formatRows="0" insertColumns="0" insertRows="0" insertHyperlinks="0"/>
  <mergeCells count="378">
    <mergeCell ref="A189:D189"/>
    <mergeCell ref="A18:D18"/>
    <mergeCell ref="G27:L27"/>
    <mergeCell ref="B131:D131"/>
    <mergeCell ref="A38:K38"/>
    <mergeCell ref="A191:D191"/>
    <mergeCell ref="G29:L29"/>
    <mergeCell ref="A81:L81"/>
    <mergeCell ref="A9:F9"/>
    <mergeCell ref="B100:D100"/>
    <mergeCell ref="G88:H88"/>
    <mergeCell ref="K148:L148"/>
    <mergeCell ref="A11:F11"/>
    <mergeCell ref="B102:D102"/>
    <mergeCell ref="H42:L42"/>
    <mergeCell ref="A93:B93"/>
    <mergeCell ref="K146:L146"/>
    <mergeCell ref="H22:L23"/>
    <mergeCell ref="A25:L25"/>
    <mergeCell ref="B56:C56"/>
    <mergeCell ref="A170:G170"/>
    <mergeCell ref="K60:L60"/>
    <mergeCell ref="K159:L159"/>
    <mergeCell ref="B57:C57"/>
    <mergeCell ref="E22:G22"/>
    <mergeCell ref="H45:L45"/>
    <mergeCell ref="B123:D123"/>
    <mergeCell ref="K161:L161"/>
    <mergeCell ref="A13:L13"/>
    <mergeCell ref="E190:L190"/>
    <mergeCell ref="H49:L49"/>
    <mergeCell ref="A91:L91"/>
    <mergeCell ref="A72:F72"/>
    <mergeCell ref="K67:L67"/>
    <mergeCell ref="B125:D125"/>
    <mergeCell ref="B105:D105"/>
    <mergeCell ref="A16:F16"/>
    <mergeCell ref="B107:D107"/>
    <mergeCell ref="K133:L133"/>
    <mergeCell ref="F63:G63"/>
    <mergeCell ref="A156:G156"/>
    <mergeCell ref="B66:C66"/>
    <mergeCell ref="H44:L44"/>
    <mergeCell ref="B147:D147"/>
    <mergeCell ref="A155:G155"/>
    <mergeCell ref="K64:L64"/>
    <mergeCell ref="K135:L135"/>
    <mergeCell ref="E93:H93"/>
    <mergeCell ref="I84:L84"/>
    <mergeCell ref="A85:F85"/>
    <mergeCell ref="A175:L175"/>
    <mergeCell ref="K122:L122"/>
    <mergeCell ref="A157:G157"/>
    <mergeCell ref="A1:L1"/>
    <mergeCell ref="F60:G60"/>
    <mergeCell ref="K112:L112"/>
    <mergeCell ref="K62:L62"/>
    <mergeCell ref="K127:L127"/>
    <mergeCell ref="G28:L28"/>
    <mergeCell ref="F68:G68"/>
    <mergeCell ref="E188:L188"/>
    <mergeCell ref="A179:L179"/>
    <mergeCell ref="A143:G143"/>
    <mergeCell ref="K138:L138"/>
    <mergeCell ref="I86:L86"/>
    <mergeCell ref="A2:L2"/>
    <mergeCell ref="A172:G172"/>
    <mergeCell ref="A176:L176"/>
    <mergeCell ref="H47:L47"/>
    <mergeCell ref="K65:L65"/>
    <mergeCell ref="A178:L178"/>
    <mergeCell ref="A21:D21"/>
    <mergeCell ref="I63:J63"/>
    <mergeCell ref="A23:D23"/>
    <mergeCell ref="B62:C62"/>
    <mergeCell ref="K108:L108"/>
    <mergeCell ref="A12:F12"/>
    <mergeCell ref="G3:H3"/>
    <mergeCell ref="B104:D104"/>
    <mergeCell ref="K59:L59"/>
    <mergeCell ref="I68:J68"/>
    <mergeCell ref="K130:L130"/>
    <mergeCell ref="K117:L117"/>
    <mergeCell ref="G5:H5"/>
    <mergeCell ref="I67:J67"/>
    <mergeCell ref="B106:D106"/>
    <mergeCell ref="K61:L61"/>
    <mergeCell ref="K125:L125"/>
    <mergeCell ref="B116:D116"/>
    <mergeCell ref="A112:G112"/>
    <mergeCell ref="B103:D103"/>
    <mergeCell ref="F59:G59"/>
    <mergeCell ref="A33:L33"/>
    <mergeCell ref="A14:F14"/>
    <mergeCell ref="B118:D118"/>
    <mergeCell ref="D57:E57"/>
    <mergeCell ref="A43:F43"/>
    <mergeCell ref="A10:L10"/>
    <mergeCell ref="A39:L39"/>
    <mergeCell ref="B65:C65"/>
    <mergeCell ref="A30:L30"/>
    <mergeCell ref="E187:L187"/>
    <mergeCell ref="E23:G23"/>
    <mergeCell ref="A45:F45"/>
    <mergeCell ref="I87:L87"/>
    <mergeCell ref="K162:L162"/>
    <mergeCell ref="E189:L189"/>
    <mergeCell ref="A87:F87"/>
    <mergeCell ref="B151:D151"/>
    <mergeCell ref="A54:L54"/>
    <mergeCell ref="A135:G135"/>
    <mergeCell ref="A41:L41"/>
    <mergeCell ref="A77:K77"/>
    <mergeCell ref="K164:L164"/>
    <mergeCell ref="K139:L139"/>
    <mergeCell ref="B101:D101"/>
    <mergeCell ref="F65:G65"/>
    <mergeCell ref="K114:L114"/>
    <mergeCell ref="E35:F35"/>
    <mergeCell ref="E28:F28"/>
    <mergeCell ref="K132:L132"/>
    <mergeCell ref="K154:L154"/>
    <mergeCell ref="K149:L149"/>
    <mergeCell ref="A187:D187"/>
    <mergeCell ref="K151:L151"/>
    <mergeCell ref="C3:F3"/>
    <mergeCell ref="B146:D146"/>
    <mergeCell ref="K63:L63"/>
    <mergeCell ref="K134:L134"/>
    <mergeCell ref="C5:F5"/>
    <mergeCell ref="F62:G62"/>
    <mergeCell ref="B110:D110"/>
    <mergeCell ref="K98:L98"/>
    <mergeCell ref="A40:L40"/>
    <mergeCell ref="A48:F48"/>
    <mergeCell ref="G12:L12"/>
    <mergeCell ref="G72:L72"/>
    <mergeCell ref="B141:D141"/>
    <mergeCell ref="K93:L93"/>
    <mergeCell ref="I60:J60"/>
    <mergeCell ref="F64:G64"/>
    <mergeCell ref="G7:L7"/>
    <mergeCell ref="E21:L21"/>
    <mergeCell ref="D65:E65"/>
    <mergeCell ref="K126:L126"/>
    <mergeCell ref="K109:L109"/>
    <mergeCell ref="K111:L111"/>
    <mergeCell ref="G73:H73"/>
    <mergeCell ref="G15:L15"/>
    <mergeCell ref="E191:L191"/>
    <mergeCell ref="D62:E62"/>
    <mergeCell ref="D56:E56"/>
    <mergeCell ref="F56:G56"/>
    <mergeCell ref="A92:L92"/>
    <mergeCell ref="A73:F73"/>
    <mergeCell ref="A53:K53"/>
    <mergeCell ref="K166:L166"/>
    <mergeCell ref="B64:C64"/>
    <mergeCell ref="D64:E64"/>
    <mergeCell ref="K141:L141"/>
    <mergeCell ref="K116:L116"/>
    <mergeCell ref="K168:L168"/>
    <mergeCell ref="F57:G57"/>
    <mergeCell ref="A69:L69"/>
    <mergeCell ref="G82:L82"/>
    <mergeCell ref="K143:L143"/>
    <mergeCell ref="K118:L118"/>
    <mergeCell ref="A183:L183"/>
    <mergeCell ref="A79:K79"/>
    <mergeCell ref="I57:J57"/>
    <mergeCell ref="K156:L156"/>
    <mergeCell ref="A181:D181"/>
    <mergeCell ref="A158:L158"/>
    <mergeCell ref="A185:L185"/>
    <mergeCell ref="B67:C67"/>
    <mergeCell ref="C93:D93"/>
    <mergeCell ref="A186:D186"/>
    <mergeCell ref="K90:L90"/>
    <mergeCell ref="B61:C61"/>
    <mergeCell ref="D61:E61"/>
    <mergeCell ref="B133:D133"/>
    <mergeCell ref="B160:D160"/>
    <mergeCell ref="K115:L115"/>
    <mergeCell ref="B154:D154"/>
    <mergeCell ref="A3:B3"/>
    <mergeCell ref="B164:D164"/>
    <mergeCell ref="B114:D114"/>
    <mergeCell ref="A121:L121"/>
    <mergeCell ref="A5:B5"/>
    <mergeCell ref="A32:K32"/>
    <mergeCell ref="K145:L145"/>
    <mergeCell ref="K160:L160"/>
    <mergeCell ref="A169:L169"/>
    <mergeCell ref="K147:L147"/>
    <mergeCell ref="B130:D130"/>
    <mergeCell ref="B117:D117"/>
    <mergeCell ref="B59:C59"/>
    <mergeCell ref="B132:D132"/>
    <mergeCell ref="B119:D119"/>
    <mergeCell ref="A134:G134"/>
    <mergeCell ref="K163:L163"/>
    <mergeCell ref="K100:L100"/>
    <mergeCell ref="B127:D127"/>
    <mergeCell ref="K165:L165"/>
    <mergeCell ref="A17:L17"/>
    <mergeCell ref="K140:L140"/>
    <mergeCell ref="K102:L102"/>
    <mergeCell ref="J51:L51"/>
    <mergeCell ref="A184:K184"/>
    <mergeCell ref="A120:G120"/>
    <mergeCell ref="K66:L66"/>
    <mergeCell ref="K124:L124"/>
    <mergeCell ref="K68:L68"/>
    <mergeCell ref="A46:F46"/>
    <mergeCell ref="A174:L174"/>
    <mergeCell ref="I88:L88"/>
    <mergeCell ref="D63:E63"/>
    <mergeCell ref="A180:D180"/>
    <mergeCell ref="A71:F71"/>
    <mergeCell ref="H46:L46"/>
    <mergeCell ref="B60:C60"/>
    <mergeCell ref="A177:L177"/>
    <mergeCell ref="I85:L85"/>
    <mergeCell ref="B68:C68"/>
    <mergeCell ref="D68:E68"/>
    <mergeCell ref="A51:I51"/>
    <mergeCell ref="B122:D122"/>
    <mergeCell ref="D59:E59"/>
    <mergeCell ref="A137:L137"/>
    <mergeCell ref="K95:L95"/>
    <mergeCell ref="K89:L89"/>
    <mergeCell ref="K153:L153"/>
    <mergeCell ref="E181:L181"/>
    <mergeCell ref="A173:G173"/>
    <mergeCell ref="K119:L119"/>
    <mergeCell ref="A97:L97"/>
    <mergeCell ref="A182:D182"/>
    <mergeCell ref="B124:D124"/>
    <mergeCell ref="A96:L96"/>
    <mergeCell ref="A168:G168"/>
    <mergeCell ref="C4:F4"/>
    <mergeCell ref="B126:D126"/>
    <mergeCell ref="B109:D109"/>
    <mergeCell ref="A8:F8"/>
    <mergeCell ref="G35:L35"/>
    <mergeCell ref="G16:L16"/>
    <mergeCell ref="G4:H4"/>
    <mergeCell ref="A37:L37"/>
    <mergeCell ref="A20:D20"/>
    <mergeCell ref="A47:F47"/>
    <mergeCell ref="A44:F44"/>
    <mergeCell ref="H48:L48"/>
    <mergeCell ref="A35:D35"/>
    <mergeCell ref="A28:D28"/>
    <mergeCell ref="A42:F42"/>
    <mergeCell ref="E186:L186"/>
    <mergeCell ref="B153:D153"/>
    <mergeCell ref="F67:G67"/>
    <mergeCell ref="I3:L3"/>
    <mergeCell ref="K103:L103"/>
    <mergeCell ref="A94:L94"/>
    <mergeCell ref="K167:L167"/>
    <mergeCell ref="I5:L5"/>
    <mergeCell ref="A84:F84"/>
    <mergeCell ref="H43:L43"/>
    <mergeCell ref="B148:D148"/>
    <mergeCell ref="B166:D166"/>
    <mergeCell ref="A86:F86"/>
    <mergeCell ref="A26:L26"/>
    <mergeCell ref="B108:D108"/>
    <mergeCell ref="G14:L14"/>
    <mergeCell ref="K131:L131"/>
    <mergeCell ref="E27:F27"/>
    <mergeCell ref="B159:D159"/>
    <mergeCell ref="A27:D27"/>
    <mergeCell ref="G85:H85"/>
    <mergeCell ref="B167:D167"/>
    <mergeCell ref="A6:L6"/>
    <mergeCell ref="G84:H84"/>
    <mergeCell ref="A4:B4"/>
    <mergeCell ref="B165:D165"/>
    <mergeCell ref="G11:L11"/>
    <mergeCell ref="A149:G149"/>
    <mergeCell ref="B140:D140"/>
    <mergeCell ref="B115:D115"/>
    <mergeCell ref="D67:E67"/>
    <mergeCell ref="K57:L57"/>
    <mergeCell ref="K128:L128"/>
    <mergeCell ref="A70:L70"/>
    <mergeCell ref="I65:J65"/>
    <mergeCell ref="A74:L74"/>
    <mergeCell ref="K123:L123"/>
    <mergeCell ref="K110:L110"/>
    <mergeCell ref="E20:L20"/>
    <mergeCell ref="A76:L76"/>
    <mergeCell ref="A89:H89"/>
    <mergeCell ref="A75:K75"/>
    <mergeCell ref="B95:D95"/>
    <mergeCell ref="B161:D161"/>
    <mergeCell ref="B63:C63"/>
    <mergeCell ref="A7:F7"/>
    <mergeCell ref="B111:D111"/>
    <mergeCell ref="B98:D98"/>
    <mergeCell ref="K173:L173"/>
    <mergeCell ref="E29:F29"/>
    <mergeCell ref="A150:L150"/>
    <mergeCell ref="A144:L144"/>
    <mergeCell ref="G87:H87"/>
    <mergeCell ref="I62:J62"/>
    <mergeCell ref="B163:D163"/>
    <mergeCell ref="G9:L9"/>
    <mergeCell ref="B138:D138"/>
    <mergeCell ref="J73:L73"/>
    <mergeCell ref="A90:J90"/>
    <mergeCell ref="I64:J64"/>
    <mergeCell ref="A22:D22"/>
    <mergeCell ref="G86:H86"/>
    <mergeCell ref="K142:L142"/>
    <mergeCell ref="A171:G171"/>
    <mergeCell ref="B162:D162"/>
    <mergeCell ref="A31:L31"/>
    <mergeCell ref="A58:L58"/>
    <mergeCell ref="K107:L107"/>
    <mergeCell ref="F61:G61"/>
    <mergeCell ref="A24:L24"/>
    <mergeCell ref="A88:F88"/>
    <mergeCell ref="I59:J59"/>
    <mergeCell ref="B152:D152"/>
    <mergeCell ref="B145:D145"/>
    <mergeCell ref="A50:L50"/>
    <mergeCell ref="G8:L8"/>
    <mergeCell ref="A78:L78"/>
    <mergeCell ref="A188:D188"/>
    <mergeCell ref="K152:L152"/>
    <mergeCell ref="A80:L80"/>
    <mergeCell ref="A190:D190"/>
    <mergeCell ref="A19:D19"/>
    <mergeCell ref="I61:J61"/>
    <mergeCell ref="A55:L55"/>
    <mergeCell ref="J172:L172"/>
    <mergeCell ref="E180:L180"/>
    <mergeCell ref="B99:D99"/>
    <mergeCell ref="E19:L19"/>
    <mergeCell ref="K106:L106"/>
    <mergeCell ref="B139:D139"/>
    <mergeCell ref="D66:E66"/>
    <mergeCell ref="A49:G49"/>
    <mergeCell ref="F66:G66"/>
    <mergeCell ref="I56:J56"/>
    <mergeCell ref="E182:L182"/>
    <mergeCell ref="K56:L56"/>
    <mergeCell ref="K105:L105"/>
    <mergeCell ref="K170:L170"/>
    <mergeCell ref="K120:L120"/>
    <mergeCell ref="E18:L18"/>
    <mergeCell ref="D60:E60"/>
    <mergeCell ref="I4:L4"/>
    <mergeCell ref="K104:L104"/>
    <mergeCell ref="A29:D29"/>
    <mergeCell ref="A136:L136"/>
    <mergeCell ref="A192:L192"/>
    <mergeCell ref="A113:L113"/>
    <mergeCell ref="A129:L129"/>
    <mergeCell ref="K99:L99"/>
    <mergeCell ref="I66:J66"/>
    <mergeCell ref="B142:D142"/>
    <mergeCell ref="A52:L52"/>
    <mergeCell ref="K155:L155"/>
    <mergeCell ref="A128:G128"/>
    <mergeCell ref="A15:F15"/>
    <mergeCell ref="A83:L83"/>
    <mergeCell ref="A34:L34"/>
    <mergeCell ref="K157:L157"/>
    <mergeCell ref="A82:F82"/>
    <mergeCell ref="G71:L71"/>
    <mergeCell ref="I171:L171"/>
    <mergeCell ref="K101:L101"/>
    <mergeCell ref="A36:L36"/>
  </mergeCells>
  <conditionalFormatting sqref="J170">
    <cfRule type="cellIs" dxfId="8" priority="2" operator="greaterThan">
      <formula>0.08</formula>
    </cfRule>
  </conditionalFormatting>
  <conditionalFormatting sqref="K170:L170">
    <cfRule type="cellIs" dxfId="7" priority="3" operator="equal">
      <formula>"EXCEEDS THE 8 % LIMIT / PŘEKRAČUJE LIMIT 8 %"</formula>
    </cfRule>
  </conditionalFormatting>
  <conditionalFormatting sqref="K173:L173">
    <cfRule type="cellIs" dxfId="6" priority="4" operator="equal">
      <formula>"OUTSIDE THE 250 000 - 500 000 CZK RANGE / MIMO ROZMEZÍ 250 000 - 500 000 Kč"</formula>
    </cfRule>
  </conditionalFormatting>
  <dataValidations count="3">
    <dataValidation type="list" allowBlank="1" sqref="E22:E23 G43:G48 I89 J51" xr:uid="{00000000-0002-0000-0000-000000000000}">
      <formula1>"Yes / Ano,No / Ne"</formula1>
      <formula2>0</formula2>
    </dataValidation>
    <dataValidation type="list" allowBlank="1" sqref="E35" xr:uid="{00000000-0002-0000-0000-000001000000}">
      <formula1>"Request of the community / žádost komunity,Local priority assessment / analýza místních priorit,Request of the partner institution / žádost partnerské instituce,Identified by the Embassy / identifikováno velvyslanectvím,Other / jiné"</formula1>
      <formula2>0</formula2>
    </dataValidation>
    <dataValidation type="decimal" error="The exchange rate reserve must be between 3 % and 5 %." sqref="H171" xr:uid="{00000000-0002-0000-0000-000002000000}">
      <formula1>0.03</formula1>
      <formula2>0.05</formula2>
    </dataValidation>
  </dataValidations>
  <printOptions horizontalCentered="1"/>
  <pageMargins left="0.3" right="0.3" top="0.4" bottom="0.4" header="0.511811023622047" footer="0.511811023622047"/>
  <rowBreaks count="6" manualBreakCount="6">
    <brk id="23" max="16383" man="1"/>
    <brk id="49" max="16383" man="1"/>
    <brk id="75" max="16383" man="1"/>
    <brk id="94" max="16383" man="1"/>
    <brk id="135" max="16383" man="1"/>
    <brk id="172" max="11"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85"/>
  <sheetViews>
    <sheetView zoomScale="130" zoomScaleNormal="130" workbookViewId="0">
      <selection activeCell="M1" sqref="M1"/>
    </sheetView>
  </sheetViews>
  <sheetFormatPr defaultColWidth="8.42578125" defaultRowHeight="15" x14ac:dyDescent="0.25"/>
  <cols>
    <col min="1" max="1" width="5" customWidth="1"/>
    <col min="2" max="2" width="24" customWidth="1"/>
    <col min="3" max="3" width="13" customWidth="1"/>
    <col min="4" max="4" width="11" customWidth="1"/>
    <col min="5" max="5" width="12" customWidth="1"/>
    <col min="6" max="6" width="13" customWidth="1"/>
    <col min="7" max="7" width="9" customWidth="1"/>
    <col min="8" max="9" width="15" customWidth="1"/>
    <col min="10" max="10" width="12" customWidth="1"/>
    <col min="11" max="11" width="11.28515625" customWidth="1"/>
    <col min="12" max="12" width="24" customWidth="1"/>
  </cols>
  <sheetData>
    <row r="1" spans="1:12" ht="42" customHeight="1" x14ac:dyDescent="0.25">
      <c r="A1" s="145" t="s">
        <v>265</v>
      </c>
      <c r="B1" s="61"/>
      <c r="C1" s="61"/>
      <c r="D1" s="61"/>
      <c r="E1" s="61"/>
      <c r="F1" s="61"/>
      <c r="G1" s="61"/>
      <c r="H1" s="61"/>
      <c r="I1" s="61"/>
      <c r="J1" s="61"/>
      <c r="K1" s="61"/>
      <c r="L1" s="62"/>
    </row>
    <row r="2" spans="1:12" ht="160.5" customHeight="1" x14ac:dyDescent="0.25">
      <c r="A2" s="63" t="s">
        <v>266</v>
      </c>
      <c r="B2" s="61"/>
      <c r="C2" s="61"/>
      <c r="D2" s="61"/>
      <c r="E2" s="61"/>
      <c r="F2" s="61"/>
      <c r="G2" s="61"/>
      <c r="H2" s="61"/>
      <c r="I2" s="61"/>
      <c r="J2" s="61"/>
      <c r="K2" s="61"/>
      <c r="L2" s="62"/>
    </row>
    <row r="3" spans="1:12" ht="85.5" customHeight="1" x14ac:dyDescent="0.25">
      <c r="A3" s="40" t="s">
        <v>77</v>
      </c>
      <c r="B3" s="159" t="s">
        <v>267</v>
      </c>
      <c r="C3" s="62"/>
      <c r="D3" s="40" t="s">
        <v>268</v>
      </c>
      <c r="E3" s="40" t="s">
        <v>269</v>
      </c>
      <c r="F3" s="40" t="s">
        <v>270</v>
      </c>
      <c r="G3" s="40" t="s">
        <v>271</v>
      </c>
      <c r="H3" s="40" t="s">
        <v>272</v>
      </c>
      <c r="I3" s="40" t="s">
        <v>273</v>
      </c>
      <c r="J3" s="40" t="s">
        <v>274</v>
      </c>
      <c r="K3" s="40" t="s">
        <v>275</v>
      </c>
      <c r="L3" s="40" t="s">
        <v>276</v>
      </c>
    </row>
    <row r="4" spans="1:12" ht="31.5" customHeight="1" x14ac:dyDescent="0.25">
      <c r="A4" s="121" t="s">
        <v>277</v>
      </c>
      <c r="B4" s="61"/>
      <c r="C4" s="61"/>
      <c r="D4" s="61"/>
      <c r="E4" s="61"/>
      <c r="F4" s="61"/>
      <c r="G4" s="61"/>
      <c r="H4" s="61"/>
      <c r="I4" s="61"/>
      <c r="J4" s="61"/>
      <c r="K4" s="61"/>
      <c r="L4" s="62"/>
    </row>
    <row r="5" spans="1:12" ht="31.5" customHeight="1" x14ac:dyDescent="0.25">
      <c r="A5" s="64" t="s">
        <v>184</v>
      </c>
      <c r="B5" s="61"/>
      <c r="C5" s="61"/>
      <c r="D5" s="61"/>
      <c r="E5" s="61"/>
      <c r="F5" s="61"/>
      <c r="G5" s="61"/>
      <c r="H5" s="61"/>
      <c r="I5" s="61"/>
      <c r="J5" s="61"/>
      <c r="K5" s="61"/>
      <c r="L5" s="62"/>
    </row>
    <row r="6" spans="1:12" ht="19.5" customHeight="1" x14ac:dyDescent="0.25">
      <c r="A6" s="1">
        <v>1</v>
      </c>
      <c r="B6" s="158" t="str">
        <f>IF('Identification Form'!B98="","",'Identification Form'!B98)</f>
        <v>New inflatable boat with aluminium floor (approx. 3.5 m, capacity 4–6 divers)</v>
      </c>
      <c r="C6" s="62"/>
      <c r="D6" s="41">
        <f>IF('Identification Form'!F98="","",'Identification Form'!F98)</f>
        <v>1</v>
      </c>
      <c r="E6" s="24">
        <f>IF('Identification Form'!G98="","",'Identification Form'!G98)</f>
        <v>6500</v>
      </c>
      <c r="F6" s="24">
        <f>IF('Identification Form'!H98="","",'Identification Form'!H98)</f>
        <v>6500</v>
      </c>
      <c r="G6" s="22"/>
      <c r="H6" s="23"/>
      <c r="I6" s="23"/>
      <c r="J6" s="24">
        <f>IF('Identification Form'!I98="","",'Identification Form'!I98)</f>
        <v>81223.602329242989</v>
      </c>
      <c r="K6" s="42" t="str">
        <f t="shared" ref="K6:K19" si="0">IF(OR(J6="",I6=""),"",I6-J6)</f>
        <v/>
      </c>
      <c r="L6" s="1" t="str">
        <f t="shared" ref="L6:L19" si="1">IF(AND(H6="",I6=""),"",IF(H6="","local amount missing / chybí částka v místní měně",IF(I6="","CZK amount missing / chybí částka v Kč","")))</f>
        <v/>
      </c>
    </row>
    <row r="7" spans="1:12" ht="19.5" customHeight="1" x14ac:dyDescent="0.25">
      <c r="A7" s="1">
        <v>2</v>
      </c>
      <c r="B7" s="158" t="str">
        <f>IF('Identification Form'!B99="","",'Identification Form'!B99)</f>
        <v>Electric outboard motor (approx. 3 hp equivalent, integrated lithium battery) – zero-emission propulsion</v>
      </c>
      <c r="C7" s="62"/>
      <c r="D7" s="41">
        <f>IF('Identification Form'!F99="","",'Identification Form'!F99)</f>
        <v>1</v>
      </c>
      <c r="E7" s="24">
        <f>IF('Identification Form'!G99="","",'Identification Form'!G99)</f>
        <v>4500</v>
      </c>
      <c r="F7" s="24">
        <f>IF('Identification Form'!H99="","",'Identification Form'!H99)</f>
        <v>4500</v>
      </c>
      <c r="G7" s="22"/>
      <c r="H7" s="23"/>
      <c r="I7" s="23"/>
      <c r="J7" s="24">
        <f>IF('Identification Form'!I99="","",'Identification Form'!I99)</f>
        <v>56231.724689475923</v>
      </c>
      <c r="K7" s="42" t="str">
        <f t="shared" si="0"/>
        <v/>
      </c>
      <c r="L7" s="1" t="str">
        <f t="shared" si="1"/>
        <v/>
      </c>
    </row>
    <row r="8" spans="1:12" ht="19.5" customHeight="1" x14ac:dyDescent="0.25">
      <c r="A8" s="1">
        <v>3</v>
      </c>
      <c r="B8" s="158" t="str">
        <f>IF('Identification Form'!B100="","",'Identification Form'!B100)</f>
        <v>Boat registration, technical inspection and first-year insurance policy</v>
      </c>
      <c r="C8" s="62"/>
      <c r="D8" s="41">
        <f>IF('Identification Form'!F100="","",'Identification Form'!F100)</f>
        <v>1</v>
      </c>
      <c r="E8" s="24">
        <f>IF('Identification Form'!G100="","",'Identification Form'!G100)</f>
        <v>800</v>
      </c>
      <c r="F8" s="24">
        <f>IF('Identification Form'!H100="","",'Identification Form'!H100)</f>
        <v>800</v>
      </c>
      <c r="G8" s="22"/>
      <c r="H8" s="23"/>
      <c r="I8" s="23"/>
      <c r="J8" s="24">
        <f>IF('Identification Form'!I100="","",'Identification Form'!I100)</f>
        <v>9996.7510559068305</v>
      </c>
      <c r="K8" s="42" t="str">
        <f t="shared" si="0"/>
        <v/>
      </c>
      <c r="L8" s="1" t="str">
        <f t="shared" si="1"/>
        <v/>
      </c>
    </row>
    <row r="9" spans="1:12" ht="19.5" customHeight="1" x14ac:dyDescent="0.25">
      <c r="A9" s="1">
        <v>4</v>
      </c>
      <c r="B9" s="158" t="str">
        <f>IF('Identification Form'!B101="","",'Identification Form'!B101)</f>
        <v>Professional neoprene dry suits for rescue divers (two diving pairs)</v>
      </c>
      <c r="C9" s="62"/>
      <c r="D9" s="41">
        <f>IF('Identification Form'!F101="","",'Identification Form'!F101)</f>
        <v>4</v>
      </c>
      <c r="E9" s="24">
        <f>IF('Identification Form'!G101="","",'Identification Form'!G101)</f>
        <v>2700</v>
      </c>
      <c r="F9" s="24">
        <f>IF('Identification Form'!H101="","",'Identification Form'!H101)</f>
        <v>10800</v>
      </c>
      <c r="G9" s="22"/>
      <c r="H9" s="23"/>
      <c r="I9" s="23"/>
      <c r="J9" s="24">
        <f>IF('Identification Form'!I101="","",'Identification Form'!I101)</f>
        <v>134956.13925474221</v>
      </c>
      <c r="K9" s="42" t="str">
        <f t="shared" si="0"/>
        <v/>
      </c>
      <c r="L9" s="1" t="str">
        <f t="shared" si="1"/>
        <v/>
      </c>
    </row>
    <row r="10" spans="1:12" ht="19.5" customHeight="1" x14ac:dyDescent="0.25">
      <c r="A10" s="1">
        <v>5</v>
      </c>
      <c r="B10" s="158" t="str">
        <f>IF('Identification Form'!B102="","",'Identification Form'!B102)</f>
        <v>Thermal undergarments for dry suits</v>
      </c>
      <c r="C10" s="62"/>
      <c r="D10" s="41">
        <f>IF('Identification Form'!F102="","",'Identification Form'!F102)</f>
        <v>4</v>
      </c>
      <c r="E10" s="24">
        <f>IF('Identification Form'!G102="","",'Identification Form'!G102)</f>
        <v>450</v>
      </c>
      <c r="F10" s="24">
        <f>IF('Identification Form'!H102="","",'Identification Form'!H102)</f>
        <v>1800</v>
      </c>
      <c r="G10" s="22"/>
      <c r="H10" s="23"/>
      <c r="I10" s="23"/>
      <c r="J10" s="24">
        <f>IF('Identification Form'!I102="","",'Identification Form'!I102)</f>
        <v>22492.689875790369</v>
      </c>
      <c r="K10" s="42" t="str">
        <f t="shared" si="0"/>
        <v/>
      </c>
      <c r="L10" s="1" t="str">
        <f t="shared" si="1"/>
        <v/>
      </c>
    </row>
    <row r="11" spans="1:12" ht="19.5" customHeight="1" x14ac:dyDescent="0.25">
      <c r="A11" s="1">
        <v>6</v>
      </c>
      <c r="B11" s="158" t="str">
        <f>IF('Identification Form'!B103="","",'Identification Form'!B103)</f>
        <v>Water-rescue set: rescue buoys, floating rescue line, first-aid kit with oxygen</v>
      </c>
      <c r="C11" s="62"/>
      <c r="D11" s="41">
        <f>IF('Identification Form'!F103="","",'Identification Form'!F103)</f>
        <v>1</v>
      </c>
      <c r="E11" s="24">
        <f>IF('Identification Form'!G103="","",'Identification Form'!G103)</f>
        <v>2000</v>
      </c>
      <c r="F11" s="24">
        <f>IF('Identification Form'!H103="","",'Identification Form'!H103)</f>
        <v>2000</v>
      </c>
      <c r="G11" s="22"/>
      <c r="H11" s="23"/>
      <c r="I11" s="23"/>
      <c r="J11" s="24">
        <f>IF('Identification Form'!I103="","",'Identification Form'!I103)</f>
        <v>24991.877639767077</v>
      </c>
      <c r="K11" s="42" t="str">
        <f t="shared" si="0"/>
        <v/>
      </c>
      <c r="L11" s="1" t="str">
        <f t="shared" si="1"/>
        <v/>
      </c>
    </row>
    <row r="12" spans="1:12" ht="19.5" customHeight="1" x14ac:dyDescent="0.25">
      <c r="A12" s="1">
        <v>7</v>
      </c>
      <c r="B12" s="158" t="str">
        <f>IF('Identification Form'!B104="","",'Identification Form'!B104)</f>
        <v>Automated external defibrillator (AED) with carry case and spare pads</v>
      </c>
      <c r="C12" s="62"/>
      <c r="D12" s="41">
        <f>IF('Identification Form'!F104="","",'Identification Form'!F104)</f>
        <v>1</v>
      </c>
      <c r="E12" s="24">
        <f>IF('Identification Form'!G104="","",'Identification Form'!G104)</f>
        <v>2500</v>
      </c>
      <c r="F12" s="24">
        <f>IF('Identification Form'!H104="","",'Identification Form'!H104)</f>
        <v>2500</v>
      </c>
      <c r="G12" s="22"/>
      <c r="H12" s="23"/>
      <c r="I12" s="23"/>
      <c r="J12" s="24">
        <f>IF('Identification Form'!I104="","",'Identification Form'!I104)</f>
        <v>31239.847049708846</v>
      </c>
      <c r="K12" s="42" t="str">
        <f t="shared" si="0"/>
        <v/>
      </c>
      <c r="L12" s="1" t="str">
        <f t="shared" si="1"/>
        <v/>
      </c>
    </row>
    <row r="13" spans="1:12" ht="19.5" customHeight="1" x14ac:dyDescent="0.25">
      <c r="A13" s="1">
        <v>8</v>
      </c>
      <c r="B13" s="158" t="str">
        <f>IF('Identification Form'!B105="","",'Identification Form'!B105)</f>
        <v>Handheld waterproof VHF marine radios (the Club already owns 4 units)</v>
      </c>
      <c r="C13" s="62"/>
      <c r="D13" s="41">
        <f>IF('Identification Form'!F105="","",'Identification Form'!F105)</f>
        <v>2</v>
      </c>
      <c r="E13" s="24">
        <f>IF('Identification Form'!G105="","",'Identification Form'!G105)</f>
        <v>250</v>
      </c>
      <c r="F13" s="24">
        <f>IF('Identification Form'!H105="","",'Identification Form'!H105)</f>
        <v>500</v>
      </c>
      <c r="G13" s="22"/>
      <c r="H13" s="23"/>
      <c r="I13" s="23"/>
      <c r="J13" s="24">
        <f>IF('Identification Form'!I105="","",'Identification Form'!I105)</f>
        <v>6247.9694099417693</v>
      </c>
      <c r="K13" s="42" t="str">
        <f t="shared" si="0"/>
        <v/>
      </c>
      <c r="L13" s="1" t="str">
        <f t="shared" si="1"/>
        <v/>
      </c>
    </row>
    <row r="14" spans="1:12" ht="19.5" customHeight="1" x14ac:dyDescent="0.25">
      <c r="A14" s="1">
        <v>9</v>
      </c>
      <c r="B14" s="158" t="str">
        <f>IF('Identification Form'!B106="","",'Identification Form'!B106)</f>
        <v/>
      </c>
      <c r="C14" s="62"/>
      <c r="D14" s="41" t="str">
        <f>IF('Identification Form'!F106="","",'Identification Form'!F106)</f>
        <v/>
      </c>
      <c r="E14" s="24" t="str">
        <f>IF('Identification Form'!G106="","",'Identification Form'!G106)</f>
        <v/>
      </c>
      <c r="F14" s="24" t="str">
        <f>IF('Identification Form'!H106="","",'Identification Form'!H106)</f>
        <v/>
      </c>
      <c r="G14" s="22"/>
      <c r="H14" s="23"/>
      <c r="I14" s="23"/>
      <c r="J14" s="24" t="str">
        <f>IF('Identification Form'!I106="","",'Identification Form'!I106)</f>
        <v/>
      </c>
      <c r="K14" s="42" t="str">
        <f t="shared" si="0"/>
        <v/>
      </c>
      <c r="L14" s="1" t="str">
        <f t="shared" si="1"/>
        <v/>
      </c>
    </row>
    <row r="15" spans="1:12" ht="19.5" customHeight="1" x14ac:dyDescent="0.25">
      <c r="A15" s="1">
        <v>10</v>
      </c>
      <c r="B15" s="158" t="str">
        <f>IF('Identification Form'!B107="","",'Identification Form'!B107)</f>
        <v/>
      </c>
      <c r="C15" s="62"/>
      <c r="D15" s="41" t="str">
        <f>IF('Identification Form'!F107="","",'Identification Form'!F107)</f>
        <v/>
      </c>
      <c r="E15" s="24" t="str">
        <f>IF('Identification Form'!G107="","",'Identification Form'!G107)</f>
        <v/>
      </c>
      <c r="F15" s="24" t="str">
        <f>IF('Identification Form'!H107="","",'Identification Form'!H107)</f>
        <v/>
      </c>
      <c r="G15" s="22"/>
      <c r="H15" s="23"/>
      <c r="I15" s="23"/>
      <c r="J15" s="24" t="str">
        <f>IF('Identification Form'!I107="","",'Identification Form'!I107)</f>
        <v/>
      </c>
      <c r="K15" s="42" t="str">
        <f t="shared" si="0"/>
        <v/>
      </c>
      <c r="L15" s="1" t="str">
        <f t="shared" si="1"/>
        <v/>
      </c>
    </row>
    <row r="16" spans="1:12" ht="19.5" customHeight="1" x14ac:dyDescent="0.25">
      <c r="A16" s="1">
        <v>11</v>
      </c>
      <c r="B16" s="158" t="str">
        <f>IF('Identification Form'!B108="","",'Identification Form'!B108)</f>
        <v/>
      </c>
      <c r="C16" s="62"/>
      <c r="D16" s="41" t="str">
        <f>IF('Identification Form'!F108="","",'Identification Form'!F108)</f>
        <v/>
      </c>
      <c r="E16" s="24" t="str">
        <f>IF('Identification Form'!G108="","",'Identification Form'!G108)</f>
        <v/>
      </c>
      <c r="F16" s="24" t="str">
        <f>IF('Identification Form'!H108="","",'Identification Form'!H108)</f>
        <v/>
      </c>
      <c r="G16" s="22"/>
      <c r="H16" s="23"/>
      <c r="I16" s="23"/>
      <c r="J16" s="24" t="str">
        <f>IF('Identification Form'!I108="","",'Identification Form'!I108)</f>
        <v/>
      </c>
      <c r="K16" s="42" t="str">
        <f t="shared" si="0"/>
        <v/>
      </c>
      <c r="L16" s="1" t="str">
        <f t="shared" si="1"/>
        <v/>
      </c>
    </row>
    <row r="17" spans="1:12" ht="19.5" customHeight="1" x14ac:dyDescent="0.25">
      <c r="A17" s="1">
        <v>12</v>
      </c>
      <c r="B17" s="158" t="str">
        <f>IF('Identification Form'!B109="","",'Identification Form'!B109)</f>
        <v/>
      </c>
      <c r="C17" s="62"/>
      <c r="D17" s="41" t="str">
        <f>IF('Identification Form'!F109="","",'Identification Form'!F109)</f>
        <v/>
      </c>
      <c r="E17" s="24" t="str">
        <f>IF('Identification Form'!G109="","",'Identification Form'!G109)</f>
        <v/>
      </c>
      <c r="F17" s="24" t="str">
        <f>IF('Identification Form'!H109="","",'Identification Form'!H109)</f>
        <v/>
      </c>
      <c r="G17" s="22"/>
      <c r="H17" s="23"/>
      <c r="I17" s="23"/>
      <c r="J17" s="24" t="str">
        <f>IF('Identification Form'!I109="","",'Identification Form'!I109)</f>
        <v/>
      </c>
      <c r="K17" s="42" t="str">
        <f t="shared" si="0"/>
        <v/>
      </c>
      <c r="L17" s="1" t="str">
        <f t="shared" si="1"/>
        <v/>
      </c>
    </row>
    <row r="18" spans="1:12" ht="19.5" customHeight="1" x14ac:dyDescent="0.25">
      <c r="A18" s="1">
        <v>13</v>
      </c>
      <c r="B18" s="158" t="str">
        <f>IF('Identification Form'!B110="","",'Identification Form'!B110)</f>
        <v/>
      </c>
      <c r="C18" s="62"/>
      <c r="D18" s="41" t="str">
        <f>IF('Identification Form'!F110="","",'Identification Form'!F110)</f>
        <v/>
      </c>
      <c r="E18" s="24" t="str">
        <f>IF('Identification Form'!G110="","",'Identification Form'!G110)</f>
        <v/>
      </c>
      <c r="F18" s="24" t="str">
        <f>IF('Identification Form'!H110="","",'Identification Form'!H110)</f>
        <v/>
      </c>
      <c r="G18" s="22"/>
      <c r="H18" s="23"/>
      <c r="I18" s="23"/>
      <c r="J18" s="24" t="str">
        <f>IF('Identification Form'!I110="","",'Identification Form'!I110)</f>
        <v/>
      </c>
      <c r="K18" s="42" t="str">
        <f t="shared" si="0"/>
        <v/>
      </c>
      <c r="L18" s="1" t="str">
        <f t="shared" si="1"/>
        <v/>
      </c>
    </row>
    <row r="19" spans="1:12" ht="19.5" customHeight="1" x14ac:dyDescent="0.25">
      <c r="A19" s="1">
        <v>14</v>
      </c>
      <c r="B19" s="158" t="str">
        <f>IF('Identification Form'!B111="","",'Identification Form'!B111)</f>
        <v/>
      </c>
      <c r="C19" s="62"/>
      <c r="D19" s="41" t="str">
        <f>IF('Identification Form'!F111="","",'Identification Form'!F111)</f>
        <v/>
      </c>
      <c r="E19" s="24" t="str">
        <f>IF('Identification Form'!G111="","",'Identification Form'!G111)</f>
        <v/>
      </c>
      <c r="F19" s="24" t="str">
        <f>IF('Identification Form'!H111="","",'Identification Form'!H111)</f>
        <v/>
      </c>
      <c r="G19" s="22"/>
      <c r="H19" s="23"/>
      <c r="I19" s="23"/>
      <c r="J19" s="24" t="str">
        <f>IF('Identification Form'!I111="","",'Identification Form'!I111)</f>
        <v/>
      </c>
      <c r="K19" s="42" t="str">
        <f t="shared" si="0"/>
        <v/>
      </c>
      <c r="L19" s="1" t="str">
        <f t="shared" si="1"/>
        <v/>
      </c>
    </row>
    <row r="20" spans="1:12" ht="60.75" customHeight="1" x14ac:dyDescent="0.25">
      <c r="A20" s="67" t="s">
        <v>196</v>
      </c>
      <c r="B20" s="61"/>
      <c r="C20" s="61"/>
      <c r="D20" s="61"/>
      <c r="E20" s="62"/>
      <c r="F20" s="26">
        <f>SUM(F6:F19)</f>
        <v>29400</v>
      </c>
      <c r="G20" s="43"/>
      <c r="H20" s="26">
        <f>SUM(H6:H19)</f>
        <v>0</v>
      </c>
      <c r="I20" s="26">
        <f>SUM(I6:I19)</f>
        <v>0</v>
      </c>
      <c r="J20" s="26">
        <f>SUM(J6:J19)</f>
        <v>367380.60130457598</v>
      </c>
      <c r="K20" s="44" t="str">
        <f>IF($I$65=0,"",I20-J20)</f>
        <v/>
      </c>
      <c r="L20" s="45" t="str">
        <f>IF(OR(F20=0,$I$65=0),"",IF(H20&lt;&gt;F20,"change — describe in Final Report, section 5 / změna — popište v bodě 5 závěrečné zprávy",""))</f>
        <v/>
      </c>
    </row>
    <row r="21" spans="1:12" ht="31.5" customHeight="1" x14ac:dyDescent="0.25">
      <c r="A21" s="64" t="s">
        <v>197</v>
      </c>
      <c r="B21" s="61"/>
      <c r="C21" s="61"/>
      <c r="D21" s="61"/>
      <c r="E21" s="61"/>
      <c r="F21" s="61"/>
      <c r="G21" s="61"/>
      <c r="H21" s="61"/>
      <c r="I21" s="61"/>
      <c r="J21" s="61"/>
      <c r="K21" s="61"/>
      <c r="L21" s="62"/>
    </row>
    <row r="22" spans="1:12" ht="19.5" customHeight="1" x14ac:dyDescent="0.25">
      <c r="A22" s="1">
        <v>1</v>
      </c>
      <c r="B22" s="158" t="str">
        <f>IF('Identification Form'!B114="","",'Identification Form'!B114)</f>
        <v/>
      </c>
      <c r="C22" s="62"/>
      <c r="D22" s="41" t="str">
        <f>IF('Identification Form'!F114="","",'Identification Form'!F114)</f>
        <v/>
      </c>
      <c r="E22" s="24" t="str">
        <f>IF('Identification Form'!G114="","",'Identification Form'!G114)</f>
        <v/>
      </c>
      <c r="F22" s="24" t="str">
        <f>IF('Identification Form'!H114="","",'Identification Form'!H114)</f>
        <v/>
      </c>
      <c r="G22" s="22"/>
      <c r="H22" s="23"/>
      <c r="I22" s="23"/>
      <c r="J22" s="24" t="str">
        <f>IF('Identification Form'!I114="","",'Identification Form'!I114)</f>
        <v/>
      </c>
      <c r="K22" s="42" t="str">
        <f t="shared" ref="K22:K27" si="2">IF(OR(J22="",I22=""),"",I22-J22)</f>
        <v/>
      </c>
      <c r="L22" s="1" t="str">
        <f t="shared" ref="L22:L27" si="3">IF(AND(H22="",I22=""),"",IF(H22="","local amount missing / chybí částka v místní měně",IF(I22="","CZK amount missing / chybí částka v Kč","")))</f>
        <v/>
      </c>
    </row>
    <row r="23" spans="1:12" ht="19.5" customHeight="1" x14ac:dyDescent="0.25">
      <c r="A23" s="1">
        <v>2</v>
      </c>
      <c r="B23" s="158" t="str">
        <f>IF('Identification Form'!B115="","",'Identification Form'!B115)</f>
        <v/>
      </c>
      <c r="C23" s="62"/>
      <c r="D23" s="41" t="str">
        <f>IF('Identification Form'!F115="","",'Identification Form'!F115)</f>
        <v/>
      </c>
      <c r="E23" s="24" t="str">
        <f>IF('Identification Form'!G115="","",'Identification Form'!G115)</f>
        <v/>
      </c>
      <c r="F23" s="24" t="str">
        <f>IF('Identification Form'!H115="","",'Identification Form'!H115)</f>
        <v/>
      </c>
      <c r="G23" s="22"/>
      <c r="H23" s="23"/>
      <c r="I23" s="23"/>
      <c r="J23" s="24" t="str">
        <f>IF('Identification Form'!I115="","",'Identification Form'!I115)</f>
        <v/>
      </c>
      <c r="K23" s="42" t="str">
        <f t="shared" si="2"/>
        <v/>
      </c>
      <c r="L23" s="1" t="str">
        <f t="shared" si="3"/>
        <v/>
      </c>
    </row>
    <row r="24" spans="1:12" ht="19.5" customHeight="1" x14ac:dyDescent="0.25">
      <c r="A24" s="1">
        <v>3</v>
      </c>
      <c r="B24" s="158" t="str">
        <f>IF('Identification Form'!B116="","",'Identification Form'!B116)</f>
        <v/>
      </c>
      <c r="C24" s="62"/>
      <c r="D24" s="41" t="str">
        <f>IF('Identification Form'!F116="","",'Identification Form'!F116)</f>
        <v/>
      </c>
      <c r="E24" s="24" t="str">
        <f>IF('Identification Form'!G116="","",'Identification Form'!G116)</f>
        <v/>
      </c>
      <c r="F24" s="24" t="str">
        <f>IF('Identification Form'!H116="","",'Identification Form'!H116)</f>
        <v/>
      </c>
      <c r="G24" s="22"/>
      <c r="H24" s="23"/>
      <c r="I24" s="23"/>
      <c r="J24" s="24" t="str">
        <f>IF('Identification Form'!I116="","",'Identification Form'!I116)</f>
        <v/>
      </c>
      <c r="K24" s="42" t="str">
        <f t="shared" si="2"/>
        <v/>
      </c>
      <c r="L24" s="1" t="str">
        <f t="shared" si="3"/>
        <v/>
      </c>
    </row>
    <row r="25" spans="1:12" ht="19.5" customHeight="1" x14ac:dyDescent="0.25">
      <c r="A25" s="1">
        <v>4</v>
      </c>
      <c r="B25" s="158" t="str">
        <f>IF('Identification Form'!B117="","",'Identification Form'!B117)</f>
        <v/>
      </c>
      <c r="C25" s="62"/>
      <c r="D25" s="41" t="str">
        <f>IF('Identification Form'!F117="","",'Identification Form'!F117)</f>
        <v/>
      </c>
      <c r="E25" s="24" t="str">
        <f>IF('Identification Form'!G117="","",'Identification Form'!G117)</f>
        <v/>
      </c>
      <c r="F25" s="24" t="str">
        <f>IF('Identification Form'!H117="","",'Identification Form'!H117)</f>
        <v/>
      </c>
      <c r="G25" s="22"/>
      <c r="H25" s="23"/>
      <c r="I25" s="23"/>
      <c r="J25" s="24" t="str">
        <f>IF('Identification Form'!I117="","",'Identification Form'!I117)</f>
        <v/>
      </c>
      <c r="K25" s="42" t="str">
        <f t="shared" si="2"/>
        <v/>
      </c>
      <c r="L25" s="1" t="str">
        <f t="shared" si="3"/>
        <v/>
      </c>
    </row>
    <row r="26" spans="1:12" ht="19.5" customHeight="1" x14ac:dyDescent="0.25">
      <c r="A26" s="1">
        <v>5</v>
      </c>
      <c r="B26" s="158" t="str">
        <f>IF('Identification Form'!B118="","",'Identification Form'!B118)</f>
        <v/>
      </c>
      <c r="C26" s="62"/>
      <c r="D26" s="41" t="str">
        <f>IF('Identification Form'!F118="","",'Identification Form'!F118)</f>
        <v/>
      </c>
      <c r="E26" s="24" t="str">
        <f>IF('Identification Form'!G118="","",'Identification Form'!G118)</f>
        <v/>
      </c>
      <c r="F26" s="24" t="str">
        <f>IF('Identification Form'!H118="","",'Identification Form'!H118)</f>
        <v/>
      </c>
      <c r="G26" s="22"/>
      <c r="H26" s="23"/>
      <c r="I26" s="23"/>
      <c r="J26" s="24" t="str">
        <f>IF('Identification Form'!I118="","",'Identification Form'!I118)</f>
        <v/>
      </c>
      <c r="K26" s="42" t="str">
        <f t="shared" si="2"/>
        <v/>
      </c>
      <c r="L26" s="1" t="str">
        <f t="shared" si="3"/>
        <v/>
      </c>
    </row>
    <row r="27" spans="1:12" ht="19.5" customHeight="1" x14ac:dyDescent="0.25">
      <c r="A27" s="1">
        <v>6</v>
      </c>
      <c r="B27" s="158" t="str">
        <f>IF('Identification Form'!B119="","",'Identification Form'!B119)</f>
        <v/>
      </c>
      <c r="C27" s="62"/>
      <c r="D27" s="41" t="str">
        <f>IF('Identification Form'!F119="","",'Identification Form'!F119)</f>
        <v/>
      </c>
      <c r="E27" s="24" t="str">
        <f>IF('Identification Form'!G119="","",'Identification Form'!G119)</f>
        <v/>
      </c>
      <c r="F27" s="24" t="str">
        <f>IF('Identification Form'!H119="","",'Identification Form'!H119)</f>
        <v/>
      </c>
      <c r="G27" s="22"/>
      <c r="H27" s="23"/>
      <c r="I27" s="23"/>
      <c r="J27" s="24" t="str">
        <f>IF('Identification Form'!I119="","",'Identification Form'!I119)</f>
        <v/>
      </c>
      <c r="K27" s="42" t="str">
        <f t="shared" si="2"/>
        <v/>
      </c>
      <c r="L27" s="1" t="str">
        <f t="shared" si="3"/>
        <v/>
      </c>
    </row>
    <row r="28" spans="1:12" ht="31.5" customHeight="1" x14ac:dyDescent="0.25">
      <c r="A28" s="67" t="s">
        <v>198</v>
      </c>
      <c r="B28" s="61"/>
      <c r="C28" s="61"/>
      <c r="D28" s="61"/>
      <c r="E28" s="62"/>
      <c r="F28" s="26">
        <f>SUM(F22:F27)</f>
        <v>0</v>
      </c>
      <c r="G28" s="43"/>
      <c r="H28" s="26">
        <f>SUM(H22:H27)</f>
        <v>0</v>
      </c>
      <c r="I28" s="26">
        <f>SUM(I22:I27)</f>
        <v>0</v>
      </c>
      <c r="J28" s="26">
        <f>SUM(J22:J27)</f>
        <v>0</v>
      </c>
      <c r="K28" s="44" t="str">
        <f>IF($I$65=0,"",I28-J28)</f>
        <v/>
      </c>
      <c r="L28" s="45" t="str">
        <f>IF(OR(F28=0,$I$65=0),"",IF(H28&lt;&gt;F28,"change — describe in Final Report, section 5 / změna — popište v bodě 5 závěrečné zprávy",""))</f>
        <v/>
      </c>
    </row>
    <row r="29" spans="1:12" ht="31.5" customHeight="1" x14ac:dyDescent="0.25">
      <c r="A29" s="64" t="s">
        <v>278</v>
      </c>
      <c r="B29" s="61"/>
      <c r="C29" s="61"/>
      <c r="D29" s="61"/>
      <c r="E29" s="61"/>
      <c r="F29" s="61"/>
      <c r="G29" s="61"/>
      <c r="H29" s="61"/>
      <c r="I29" s="61"/>
      <c r="J29" s="61"/>
      <c r="K29" s="61"/>
      <c r="L29" s="62"/>
    </row>
    <row r="30" spans="1:12" ht="19.5" customHeight="1" x14ac:dyDescent="0.25">
      <c r="A30" s="1">
        <v>1</v>
      </c>
      <c r="B30" s="158" t="str">
        <f>IF('Identification Form'!B122="","",'Identification Form'!B122)</f>
        <v>Lead instructor fee — SSI Diver Stress &amp; Rescue course</v>
      </c>
      <c r="C30" s="62"/>
      <c r="D30" s="41">
        <f>IF('Identification Form'!F122="","",'Identification Form'!F122)</f>
        <v>1</v>
      </c>
      <c r="E30" s="24">
        <f>IF('Identification Form'!G122="","",'Identification Form'!G122)</f>
        <v>600</v>
      </c>
      <c r="F30" s="24">
        <f>IF('Identification Form'!H122="","",'Identification Form'!H122)</f>
        <v>600</v>
      </c>
      <c r="G30" s="22"/>
      <c r="H30" s="23"/>
      <c r="I30" s="23"/>
      <c r="J30" s="24">
        <f>IF('Identification Form'!I122="","",'Identification Form'!I122)</f>
        <v>7497.5632919301224</v>
      </c>
      <c r="K30" s="42" t="str">
        <f t="shared" ref="K30:K35" si="4">IF(OR(J30="",I30=""),"",I30-J30)</f>
        <v/>
      </c>
      <c r="L30" s="1" t="str">
        <f t="shared" ref="L30:L35" si="5">IF(AND(H30="",I30=""),"",IF(H30="","local amount missing / chybí částka v místní měně",IF(I30="","CZK amount missing / chybí částka v Kč","")))</f>
        <v/>
      </c>
    </row>
    <row r="31" spans="1:12" ht="19.5" customHeight="1" x14ac:dyDescent="0.25">
      <c r="A31" s="1">
        <v>2</v>
      </c>
      <c r="B31" s="158" t="str">
        <f>IF('Identification Form'!B123="","",'Identification Form'!B123)</f>
        <v>Instructor fee — SSI React Right (first aid, CPR, AED, oxygen) course</v>
      </c>
      <c r="C31" s="62"/>
      <c r="D31" s="41">
        <f>IF('Identification Form'!F123="","",'Identification Form'!F123)</f>
        <v>1</v>
      </c>
      <c r="E31" s="24">
        <f>IF('Identification Form'!G123="","",'Identification Form'!G123)</f>
        <v>400</v>
      </c>
      <c r="F31" s="24">
        <f>IF('Identification Form'!H123="","",'Identification Form'!H123)</f>
        <v>400</v>
      </c>
      <c r="G31" s="22"/>
      <c r="H31" s="23"/>
      <c r="I31" s="23"/>
      <c r="J31" s="24">
        <f>IF('Identification Form'!I123="","",'Identification Form'!I123)</f>
        <v>4998.3755279534153</v>
      </c>
      <c r="K31" s="42" t="str">
        <f t="shared" si="4"/>
        <v/>
      </c>
      <c r="L31" s="1" t="str">
        <f t="shared" si="5"/>
        <v/>
      </c>
    </row>
    <row r="32" spans="1:12" ht="19.5" customHeight="1" x14ac:dyDescent="0.25">
      <c r="A32" s="1">
        <v>3</v>
      </c>
      <c r="B32" s="158" t="str">
        <f>IF('Identification Form'!B124="","",'Identification Form'!B124)</f>
        <v/>
      </c>
      <c r="C32" s="62"/>
      <c r="D32" s="41" t="str">
        <f>IF('Identification Form'!F124="","",'Identification Form'!F124)</f>
        <v/>
      </c>
      <c r="E32" s="24" t="str">
        <f>IF('Identification Form'!G124="","",'Identification Form'!G124)</f>
        <v/>
      </c>
      <c r="F32" s="24" t="str">
        <f>IF('Identification Form'!H124="","",'Identification Form'!H124)</f>
        <v/>
      </c>
      <c r="G32" s="22"/>
      <c r="H32" s="23"/>
      <c r="I32" s="23"/>
      <c r="J32" s="24" t="str">
        <f>IF('Identification Form'!I124="","",'Identification Form'!I124)</f>
        <v/>
      </c>
      <c r="K32" s="42" t="str">
        <f t="shared" si="4"/>
        <v/>
      </c>
      <c r="L32" s="1" t="str">
        <f t="shared" si="5"/>
        <v/>
      </c>
    </row>
    <row r="33" spans="1:12" ht="19.5" customHeight="1" x14ac:dyDescent="0.25">
      <c r="A33" s="1">
        <v>4</v>
      </c>
      <c r="B33" s="158" t="str">
        <f>IF('Identification Form'!B125="","",'Identification Form'!B125)</f>
        <v/>
      </c>
      <c r="C33" s="62"/>
      <c r="D33" s="41" t="str">
        <f>IF('Identification Form'!F125="","",'Identification Form'!F125)</f>
        <v/>
      </c>
      <c r="E33" s="24" t="str">
        <f>IF('Identification Form'!G125="","",'Identification Form'!G125)</f>
        <v/>
      </c>
      <c r="F33" s="24" t="str">
        <f>IF('Identification Form'!H125="","",'Identification Form'!H125)</f>
        <v/>
      </c>
      <c r="G33" s="22"/>
      <c r="H33" s="23"/>
      <c r="I33" s="23"/>
      <c r="J33" s="24" t="str">
        <f>IF('Identification Form'!I125="","",'Identification Form'!I125)</f>
        <v/>
      </c>
      <c r="K33" s="42" t="str">
        <f t="shared" si="4"/>
        <v/>
      </c>
      <c r="L33" s="1" t="str">
        <f t="shared" si="5"/>
        <v/>
      </c>
    </row>
    <row r="34" spans="1:12" ht="19.5" customHeight="1" x14ac:dyDescent="0.25">
      <c r="A34" s="1">
        <v>5</v>
      </c>
      <c r="B34" s="158" t="str">
        <f>IF('Identification Form'!B126="","",'Identification Form'!B126)</f>
        <v/>
      </c>
      <c r="C34" s="62"/>
      <c r="D34" s="41" t="str">
        <f>IF('Identification Form'!F126="","",'Identification Form'!F126)</f>
        <v/>
      </c>
      <c r="E34" s="24" t="str">
        <f>IF('Identification Form'!G126="","",'Identification Form'!G126)</f>
        <v/>
      </c>
      <c r="F34" s="24" t="str">
        <f>IF('Identification Form'!H126="","",'Identification Form'!H126)</f>
        <v/>
      </c>
      <c r="G34" s="22"/>
      <c r="H34" s="23"/>
      <c r="I34" s="23"/>
      <c r="J34" s="24" t="str">
        <f>IF('Identification Form'!I126="","",'Identification Form'!I126)</f>
        <v/>
      </c>
      <c r="K34" s="42" t="str">
        <f t="shared" si="4"/>
        <v/>
      </c>
      <c r="L34" s="1" t="str">
        <f t="shared" si="5"/>
        <v/>
      </c>
    </row>
    <row r="35" spans="1:12" ht="19.5" customHeight="1" x14ac:dyDescent="0.25">
      <c r="A35" s="1">
        <v>6</v>
      </c>
      <c r="B35" s="158" t="str">
        <f>IF('Identification Form'!B127="","",'Identification Form'!B127)</f>
        <v/>
      </c>
      <c r="C35" s="62"/>
      <c r="D35" s="41" t="str">
        <f>IF('Identification Form'!F127="","",'Identification Form'!F127)</f>
        <v/>
      </c>
      <c r="E35" s="24" t="str">
        <f>IF('Identification Form'!G127="","",'Identification Form'!G127)</f>
        <v/>
      </c>
      <c r="F35" s="24" t="str">
        <f>IF('Identification Form'!H127="","",'Identification Form'!H127)</f>
        <v/>
      </c>
      <c r="G35" s="22"/>
      <c r="H35" s="23"/>
      <c r="I35" s="23"/>
      <c r="J35" s="24" t="str">
        <f>IF('Identification Form'!I127="","",'Identification Form'!I127)</f>
        <v/>
      </c>
      <c r="K35" s="42" t="str">
        <f t="shared" si="4"/>
        <v/>
      </c>
      <c r="L35" s="1" t="str">
        <f t="shared" si="5"/>
        <v/>
      </c>
    </row>
    <row r="36" spans="1:12" ht="58.5" customHeight="1" x14ac:dyDescent="0.25">
      <c r="A36" s="67" t="s">
        <v>203</v>
      </c>
      <c r="B36" s="61"/>
      <c r="C36" s="61"/>
      <c r="D36" s="61"/>
      <c r="E36" s="62"/>
      <c r="F36" s="26">
        <f>SUM(F30:F35)</f>
        <v>1000</v>
      </c>
      <c r="G36" s="43"/>
      <c r="H36" s="26">
        <f>SUM(H30:H35)</f>
        <v>0</v>
      </c>
      <c r="I36" s="26">
        <f>SUM(I30:I35)</f>
        <v>0</v>
      </c>
      <c r="J36" s="26">
        <f>SUM(J30:J35)</f>
        <v>12495.938819883537</v>
      </c>
      <c r="K36" s="44" t="str">
        <f>IF($I$65=0,"",I36-J36)</f>
        <v/>
      </c>
      <c r="L36" s="45" t="str">
        <f>IF(OR(F36=0,$I$65=0),"",IF(H36&lt;&gt;F36,"change — describe in Final Report, section 5 / změna — popište v bodě 5 závěrečné zprávy",""))</f>
        <v/>
      </c>
    </row>
    <row r="37" spans="1:12" ht="31.5" customHeight="1" x14ac:dyDescent="0.25">
      <c r="A37" s="64" t="s">
        <v>204</v>
      </c>
      <c r="B37" s="61"/>
      <c r="C37" s="61"/>
      <c r="D37" s="61"/>
      <c r="E37" s="61"/>
      <c r="F37" s="61"/>
      <c r="G37" s="61"/>
      <c r="H37" s="61"/>
      <c r="I37" s="61"/>
      <c r="J37" s="61"/>
      <c r="K37" s="61"/>
      <c r="L37" s="62"/>
    </row>
    <row r="38" spans="1:12" ht="19.5" customHeight="1" x14ac:dyDescent="0.25">
      <c r="A38" s="1">
        <v>1</v>
      </c>
      <c r="B38" s="158" t="str">
        <f>IF('Identification Form'!B130="","",'Identification Form'!B130)</f>
        <v>SSI Diver Stress &amp; Rescue student kit and certification</v>
      </c>
      <c r="C38" s="62"/>
      <c r="D38" s="41">
        <f>IF('Identification Form'!F130="","",'Identification Form'!F130)</f>
        <v>15</v>
      </c>
      <c r="E38" s="24">
        <f>IF('Identification Form'!G130="","",'Identification Form'!G130)</f>
        <v>200</v>
      </c>
      <c r="F38" s="24">
        <f>IF('Identification Form'!H130="","",'Identification Form'!H130)</f>
        <v>3000</v>
      </c>
      <c r="G38" s="22"/>
      <c r="H38" s="23"/>
      <c r="I38" s="23"/>
      <c r="J38" s="24">
        <f>IF('Identification Form'!I130="","",'Identification Form'!I130)</f>
        <v>37487.81645965061</v>
      </c>
      <c r="K38" s="42" t="str">
        <f>IF(OR(J38="",I38=""),"",I38-J38)</f>
        <v/>
      </c>
      <c r="L38" s="1" t="str">
        <f>IF(AND(H38="",I38=""),"",IF(H38="","local amount missing / chybí částka v místní měně",IF(I38="","CZK amount missing / chybí částka v Kč","")))</f>
        <v/>
      </c>
    </row>
    <row r="39" spans="1:12" ht="19.5" customHeight="1" x14ac:dyDescent="0.25">
      <c r="A39" s="1">
        <v>2</v>
      </c>
      <c r="B39" s="158" t="str">
        <f>IF('Identification Form'!B131="","",'Identification Form'!B131)</f>
        <v>SSI React Right student kit and certification</v>
      </c>
      <c r="C39" s="62"/>
      <c r="D39" s="41">
        <f>IF('Identification Form'!F131="","",'Identification Form'!F131)</f>
        <v>15</v>
      </c>
      <c r="E39" s="24">
        <f>IF('Identification Form'!G131="","",'Identification Form'!G131)</f>
        <v>140</v>
      </c>
      <c r="F39" s="24">
        <f>IF('Identification Form'!H131="","",'Identification Form'!H131)</f>
        <v>2100</v>
      </c>
      <c r="G39" s="22"/>
      <c r="H39" s="23"/>
      <c r="I39" s="23"/>
      <c r="J39" s="24">
        <f>IF('Identification Form'!I131="","",'Identification Form'!I131)</f>
        <v>26241.471521755429</v>
      </c>
      <c r="K39" s="42" t="str">
        <f>IF(OR(J39="",I39=""),"",I39-J39)</f>
        <v/>
      </c>
      <c r="L39" s="1" t="str">
        <f>IF(AND(H39="",I39=""),"",IF(H39="","local amount missing / chybí částka v místní měně",IF(I39="","CZK amount missing / chybí částka v Kč","")))</f>
        <v/>
      </c>
    </row>
    <row r="40" spans="1:12" ht="19.5" customHeight="1" x14ac:dyDescent="0.25">
      <c r="A40" s="1">
        <v>3</v>
      </c>
      <c r="B40" s="158" t="str">
        <f>IF('Identification Form'!B132="","",'Identification Form'!B132)</f>
        <v>Open-water training logistics (tank fills, site access)</v>
      </c>
      <c r="C40" s="62"/>
      <c r="D40" s="41">
        <f>IF('Identification Form'!F132="","",'Identification Form'!F132)</f>
        <v>4</v>
      </c>
      <c r="E40" s="24">
        <f>IF('Identification Form'!G132="","",'Identification Form'!G132)</f>
        <v>100</v>
      </c>
      <c r="F40" s="24">
        <f>IF('Identification Form'!H132="","",'Identification Form'!H132)</f>
        <v>400</v>
      </c>
      <c r="G40" s="22"/>
      <c r="H40" s="23"/>
      <c r="I40" s="23"/>
      <c r="J40" s="24">
        <f>IF('Identification Form'!I132="","",'Identification Form'!I132)</f>
        <v>4998.3755279534153</v>
      </c>
      <c r="K40" s="42" t="str">
        <f>IF(OR(J40="",I40=""),"",I40-J40)</f>
        <v/>
      </c>
      <c r="L40" s="1" t="str">
        <f>IF(AND(H40="",I40=""),"",IF(H40="","local amount missing / chybí částka v místní měně",IF(I40="","CZK amount missing / chybí částka v Kč","")))</f>
        <v/>
      </c>
    </row>
    <row r="41" spans="1:12" ht="19.5" customHeight="1" x14ac:dyDescent="0.25">
      <c r="A41" s="1">
        <v>4</v>
      </c>
      <c r="B41" s="158" t="str">
        <f>IF('Identification Form'!B133="","",'Identification Form'!B133)</f>
        <v/>
      </c>
      <c r="C41" s="62"/>
      <c r="D41" s="41" t="str">
        <f>IF('Identification Form'!F133="","",'Identification Form'!F133)</f>
        <v/>
      </c>
      <c r="E41" s="24" t="str">
        <f>IF('Identification Form'!G133="","",'Identification Form'!G133)</f>
        <v/>
      </c>
      <c r="F41" s="24" t="str">
        <f>IF('Identification Form'!H133="","",'Identification Form'!H133)</f>
        <v/>
      </c>
      <c r="G41" s="22"/>
      <c r="H41" s="23"/>
      <c r="I41" s="23"/>
      <c r="J41" s="24" t="str">
        <f>IF('Identification Form'!I133="","",'Identification Form'!I133)</f>
        <v/>
      </c>
      <c r="K41" s="42" t="str">
        <f>IF(OR(J41="",I41=""),"",I41-J41)</f>
        <v/>
      </c>
      <c r="L41" s="1" t="str">
        <f>IF(AND(H41="",I41=""),"",IF(H41="","local amount missing / chybí částka v místní měně",IF(I41="","CZK amount missing / chybí částka v Kč","")))</f>
        <v/>
      </c>
    </row>
    <row r="42" spans="1:12" ht="46.5" customHeight="1" x14ac:dyDescent="0.25">
      <c r="A42" s="67" t="s">
        <v>210</v>
      </c>
      <c r="B42" s="61"/>
      <c r="C42" s="61"/>
      <c r="D42" s="61"/>
      <c r="E42" s="62"/>
      <c r="F42" s="26">
        <f>SUM(F38:F41)</f>
        <v>5500</v>
      </c>
      <c r="G42" s="43"/>
      <c r="H42" s="26">
        <f>SUM(H38:H41)</f>
        <v>0</v>
      </c>
      <c r="I42" s="26">
        <f>SUM(I38:I41)</f>
        <v>0</v>
      </c>
      <c r="J42" s="26">
        <f>SUM(J38:J41)</f>
        <v>68727.663509359452</v>
      </c>
      <c r="K42" s="44" t="str">
        <f>IF($I$65=0,"",I42-J42)</f>
        <v/>
      </c>
      <c r="L42" s="45" t="str">
        <f>IF(OR(F42=0,$I$65=0),"",IF(H42&lt;&gt;F42,"change — describe in Final Report, section 5 / změna — popište v bodě 5 závěrečné zprávy",""))</f>
        <v/>
      </c>
    </row>
    <row r="43" spans="1:12" ht="31.5" customHeight="1" x14ac:dyDescent="0.25">
      <c r="A43" s="121" t="s">
        <v>211</v>
      </c>
      <c r="B43" s="61"/>
      <c r="C43" s="61"/>
      <c r="D43" s="61"/>
      <c r="E43" s="62"/>
      <c r="F43" s="28">
        <f>F20+F28+F36+F42</f>
        <v>35900</v>
      </c>
      <c r="G43" s="36"/>
      <c r="H43" s="28">
        <f>H20+H28+H36+H42</f>
        <v>0</v>
      </c>
      <c r="I43" s="28">
        <f>I20+I28+I36+I42</f>
        <v>0</v>
      </c>
      <c r="J43" s="28">
        <f>J20+J28+J36+J42</f>
        <v>448604.20363381901</v>
      </c>
      <c r="K43" s="46" t="str">
        <f>IF($I$65=0,"",I43-J43)</f>
        <v/>
      </c>
      <c r="L43" s="36"/>
    </row>
    <row r="44" spans="1:12" ht="31.5" customHeight="1" x14ac:dyDescent="0.25">
      <c r="A44" s="60" t="s">
        <v>279</v>
      </c>
      <c r="B44" s="61"/>
      <c r="C44" s="61"/>
      <c r="D44" s="61"/>
      <c r="E44" s="61"/>
      <c r="F44" s="61"/>
      <c r="G44" s="61"/>
      <c r="H44" s="61"/>
      <c r="I44" s="61"/>
      <c r="J44" s="61"/>
      <c r="K44" s="61"/>
      <c r="L44" s="62"/>
    </row>
    <row r="45" spans="1:12" ht="31.5" customHeight="1" x14ac:dyDescent="0.25">
      <c r="A45" s="64" t="s">
        <v>213</v>
      </c>
      <c r="B45" s="61"/>
      <c r="C45" s="61"/>
      <c r="D45" s="61"/>
      <c r="E45" s="61"/>
      <c r="F45" s="61"/>
      <c r="G45" s="61"/>
      <c r="H45" s="61"/>
      <c r="I45" s="61"/>
      <c r="J45" s="61"/>
      <c r="K45" s="61"/>
      <c r="L45" s="62"/>
    </row>
    <row r="46" spans="1:12" ht="19.5" customHeight="1" x14ac:dyDescent="0.25">
      <c r="A46" s="1">
        <v>1</v>
      </c>
      <c r="B46" s="158" t="str">
        <f>IF('Identification Form'!B138="","",'Identification Form'!B138)</f>
        <v>Project manager honorarium (part-time, project duration)</v>
      </c>
      <c r="C46" s="62"/>
      <c r="D46" s="41">
        <f>IF('Identification Form'!F138="","",'Identification Form'!F138)</f>
        <v>1</v>
      </c>
      <c r="E46" s="24">
        <f>IF('Identification Form'!G138="","",'Identification Form'!G138)</f>
        <v>600</v>
      </c>
      <c r="F46" s="24">
        <f>IF('Identification Form'!H138="","",'Identification Form'!H138)</f>
        <v>600</v>
      </c>
      <c r="G46" s="22"/>
      <c r="H46" s="23"/>
      <c r="I46" s="23"/>
      <c r="J46" s="24">
        <f>IF('Identification Form'!I138="","",'Identification Form'!I138)</f>
        <v>7497.5632919301224</v>
      </c>
      <c r="K46" s="42" t="str">
        <f>IF(OR(J46="",I46=""),"",I46-J46)</f>
        <v/>
      </c>
      <c r="L46" s="1" t="str">
        <f>IF(AND(H46="",I46=""),"",IF(H46="","local amount missing / chybí částka v místní měně",IF(I46="","CZK amount missing / chybí částka v Kč","")))</f>
        <v/>
      </c>
    </row>
    <row r="47" spans="1:12" ht="19.5" customHeight="1" x14ac:dyDescent="0.25">
      <c r="A47" s="1">
        <v>2</v>
      </c>
      <c r="B47" s="158" t="str">
        <f>IF('Identification Form'!B139="","",'Identification Form'!B139)</f>
        <v/>
      </c>
      <c r="C47" s="62"/>
      <c r="D47" s="41" t="str">
        <f>IF('Identification Form'!F139="","",'Identification Form'!F139)</f>
        <v/>
      </c>
      <c r="E47" s="24" t="str">
        <f>IF('Identification Form'!G139="","",'Identification Form'!G139)</f>
        <v/>
      </c>
      <c r="F47" s="24" t="str">
        <f>IF('Identification Form'!H139="","",'Identification Form'!H139)</f>
        <v/>
      </c>
      <c r="G47" s="22"/>
      <c r="H47" s="23"/>
      <c r="I47" s="23"/>
      <c r="J47" s="24" t="str">
        <f>IF('Identification Form'!I139="","",'Identification Form'!I139)</f>
        <v/>
      </c>
      <c r="K47" s="42" t="str">
        <f>IF(OR(J47="",I47=""),"",I47-J47)</f>
        <v/>
      </c>
      <c r="L47" s="1" t="str">
        <f>IF(AND(H47="",I47=""),"",IF(H47="","local amount missing / chybí částka v místní měně",IF(I47="","CZK amount missing / chybí částka v Kč","")))</f>
        <v/>
      </c>
    </row>
    <row r="48" spans="1:12" ht="19.5" customHeight="1" x14ac:dyDescent="0.25">
      <c r="A48" s="1">
        <v>3</v>
      </c>
      <c r="B48" s="158" t="str">
        <f>IF('Identification Form'!B140="","",'Identification Form'!B140)</f>
        <v/>
      </c>
      <c r="C48" s="62"/>
      <c r="D48" s="41" t="str">
        <f>IF('Identification Form'!F140="","",'Identification Form'!F140)</f>
        <v/>
      </c>
      <c r="E48" s="24" t="str">
        <f>IF('Identification Form'!G140="","",'Identification Form'!G140)</f>
        <v/>
      </c>
      <c r="F48" s="24" t="str">
        <f>IF('Identification Form'!H140="","",'Identification Form'!H140)</f>
        <v/>
      </c>
      <c r="G48" s="22"/>
      <c r="H48" s="23"/>
      <c r="I48" s="23"/>
      <c r="J48" s="24" t="str">
        <f>IF('Identification Form'!I140="","",'Identification Form'!I140)</f>
        <v/>
      </c>
      <c r="K48" s="42" t="str">
        <f>IF(OR(J48="",I48=""),"",I48-J48)</f>
        <v/>
      </c>
      <c r="L48" s="1" t="str">
        <f>IF(AND(H48="",I48=""),"",IF(H48="","local amount missing / chybí částka v místní měně",IF(I48="","CZK amount missing / chybí částka v Kč","")))</f>
        <v/>
      </c>
    </row>
    <row r="49" spans="1:12" ht="19.5" customHeight="1" x14ac:dyDescent="0.25">
      <c r="A49" s="1">
        <v>4</v>
      </c>
      <c r="B49" s="158" t="str">
        <f>IF('Identification Form'!B141="","",'Identification Form'!B141)</f>
        <v/>
      </c>
      <c r="C49" s="62"/>
      <c r="D49" s="41" t="str">
        <f>IF('Identification Form'!F141="","",'Identification Form'!F141)</f>
        <v/>
      </c>
      <c r="E49" s="24" t="str">
        <f>IF('Identification Form'!G141="","",'Identification Form'!G141)</f>
        <v/>
      </c>
      <c r="F49" s="24" t="str">
        <f>IF('Identification Form'!H141="","",'Identification Form'!H141)</f>
        <v/>
      </c>
      <c r="G49" s="22"/>
      <c r="H49" s="23"/>
      <c r="I49" s="23"/>
      <c r="J49" s="24" t="str">
        <f>IF('Identification Form'!I141="","",'Identification Form'!I141)</f>
        <v/>
      </c>
      <c r="K49" s="42" t="str">
        <f>IF(OR(J49="",I49=""),"",I49-J49)</f>
        <v/>
      </c>
      <c r="L49" s="1" t="str">
        <f>IF(AND(H49="",I49=""),"",IF(H49="","local amount missing / chybí částka v místní měně",IF(I49="","CZK amount missing / chybí částka v Kč","")))</f>
        <v/>
      </c>
    </row>
    <row r="50" spans="1:12" ht="19.5" customHeight="1" x14ac:dyDescent="0.25">
      <c r="A50" s="1">
        <v>5</v>
      </c>
      <c r="B50" s="158" t="str">
        <f>IF('Identification Form'!B142="","",'Identification Form'!B142)</f>
        <v/>
      </c>
      <c r="C50" s="62"/>
      <c r="D50" s="41" t="str">
        <f>IF('Identification Form'!F142="","",'Identification Form'!F142)</f>
        <v/>
      </c>
      <c r="E50" s="24" t="str">
        <f>IF('Identification Form'!G142="","",'Identification Form'!G142)</f>
        <v/>
      </c>
      <c r="F50" s="24" t="str">
        <f>IF('Identification Form'!H142="","",'Identification Form'!H142)</f>
        <v/>
      </c>
      <c r="G50" s="22"/>
      <c r="H50" s="23"/>
      <c r="I50" s="23"/>
      <c r="J50" s="24" t="str">
        <f>IF('Identification Form'!I142="","",'Identification Form'!I142)</f>
        <v/>
      </c>
      <c r="K50" s="42" t="str">
        <f>IF(OR(J50="",I50=""),"",I50-J50)</f>
        <v/>
      </c>
      <c r="L50" s="1" t="str">
        <f>IF(AND(H50="",I50=""),"",IF(H50="","local amount missing / chybí částka v místní měně",IF(I50="","CZK amount missing / chybí částka v Kč","")))</f>
        <v/>
      </c>
    </row>
    <row r="51" spans="1:12" ht="58.5" customHeight="1" x14ac:dyDescent="0.25">
      <c r="A51" s="103" t="s">
        <v>215</v>
      </c>
      <c r="B51" s="61"/>
      <c r="C51" s="61"/>
      <c r="D51" s="61"/>
      <c r="E51" s="62"/>
      <c r="F51" s="30">
        <f>SUM(F46:F50)</f>
        <v>600</v>
      </c>
      <c r="G51" s="47"/>
      <c r="H51" s="30">
        <f>SUM(H46:H50)</f>
        <v>0</v>
      </c>
      <c r="I51" s="30">
        <f>SUM(I46:I50)</f>
        <v>0</v>
      </c>
      <c r="J51" s="30">
        <f>SUM(J46:J50)</f>
        <v>7497.5632919301224</v>
      </c>
      <c r="K51" s="48" t="str">
        <f>IF($I$65=0,"",I51-J51)</f>
        <v/>
      </c>
      <c r="L51" s="49" t="str">
        <f>IF(OR(F51=0,$I$65=0),"",IF(H51&lt;&gt;F51,"change — describe in Final Report, section 5 / změna — popište v bodě 5 závěrečné zprávy",""))</f>
        <v/>
      </c>
    </row>
    <row r="52" spans="1:12" ht="31.5" customHeight="1" x14ac:dyDescent="0.25">
      <c r="A52" s="64" t="s">
        <v>216</v>
      </c>
      <c r="B52" s="61"/>
      <c r="C52" s="61"/>
      <c r="D52" s="61"/>
      <c r="E52" s="61"/>
      <c r="F52" s="61"/>
      <c r="G52" s="61"/>
      <c r="H52" s="61"/>
      <c r="I52" s="61"/>
      <c r="J52" s="61"/>
      <c r="K52" s="61"/>
      <c r="L52" s="62"/>
    </row>
    <row r="53" spans="1:12" ht="19.5" customHeight="1" x14ac:dyDescent="0.25">
      <c r="A53" s="1">
        <v>1</v>
      </c>
      <c r="B53" s="158" t="str">
        <f>IF('Identification Form'!B145="","",'Identification Form'!B145)</f>
        <v>Local travel for project preparation and monitoring</v>
      </c>
      <c r="C53" s="62"/>
      <c r="D53" s="41">
        <f>IF('Identification Form'!F145="","",'Identification Form'!F145)</f>
        <v>1</v>
      </c>
      <c r="E53" s="24">
        <f>IF('Identification Form'!G145="","",'Identification Form'!G145)</f>
        <v>120</v>
      </c>
      <c r="F53" s="24">
        <f>IF('Identification Form'!H145="","",'Identification Form'!H145)</f>
        <v>120</v>
      </c>
      <c r="G53" s="22"/>
      <c r="H53" s="23"/>
      <c r="I53" s="23"/>
      <c r="J53" s="24">
        <f>IF('Identification Form'!I145="","",'Identification Form'!I145)</f>
        <v>1499.5126583860244</v>
      </c>
      <c r="K53" s="42" t="str">
        <f>IF(OR(J53="",I53=""),"",I53-J53)</f>
        <v/>
      </c>
      <c r="L53" s="1" t="str">
        <f>IF(AND(H53="",I53=""),"",IF(H53="","local amount missing / chybí částka v místní měně",IF(I53="","CZK amount missing / chybí částka v Kč","")))</f>
        <v/>
      </c>
    </row>
    <row r="54" spans="1:12" ht="19.5" customHeight="1" x14ac:dyDescent="0.25">
      <c r="A54" s="1">
        <v>2</v>
      </c>
      <c r="B54" s="158" t="str">
        <f>IF('Identification Form'!B146="","",'Identification Form'!B146)</f>
        <v/>
      </c>
      <c r="C54" s="62"/>
      <c r="D54" s="41" t="str">
        <f>IF('Identification Form'!F146="","",'Identification Form'!F146)</f>
        <v/>
      </c>
      <c r="E54" s="24" t="str">
        <f>IF('Identification Form'!G146="","",'Identification Form'!G146)</f>
        <v/>
      </c>
      <c r="F54" s="24" t="str">
        <f>IF('Identification Form'!H146="","",'Identification Form'!H146)</f>
        <v/>
      </c>
      <c r="G54" s="22"/>
      <c r="H54" s="23"/>
      <c r="I54" s="23"/>
      <c r="J54" s="24" t="str">
        <f>IF('Identification Form'!I146="","",'Identification Form'!I146)</f>
        <v/>
      </c>
      <c r="K54" s="42" t="str">
        <f>IF(OR(J54="",I54=""),"",I54-J54)</f>
        <v/>
      </c>
      <c r="L54" s="1" t="str">
        <f>IF(AND(H54="",I54=""),"",IF(H54="","local amount missing / chybí částka v místní měně",IF(I54="","CZK amount missing / chybí částka v Kč","")))</f>
        <v/>
      </c>
    </row>
    <row r="55" spans="1:12" ht="19.5" customHeight="1" x14ac:dyDescent="0.25">
      <c r="A55" s="1">
        <v>3</v>
      </c>
      <c r="B55" s="158" t="str">
        <f>IF('Identification Form'!B147="","",'Identification Form'!B147)</f>
        <v/>
      </c>
      <c r="C55" s="62"/>
      <c r="D55" s="41" t="str">
        <f>IF('Identification Form'!F147="","",'Identification Form'!F147)</f>
        <v/>
      </c>
      <c r="E55" s="24" t="str">
        <f>IF('Identification Form'!G147="","",'Identification Form'!G147)</f>
        <v/>
      </c>
      <c r="F55" s="24" t="str">
        <f>IF('Identification Form'!H147="","",'Identification Form'!H147)</f>
        <v/>
      </c>
      <c r="G55" s="22"/>
      <c r="H55" s="23"/>
      <c r="I55" s="23"/>
      <c r="J55" s="24" t="str">
        <f>IF('Identification Form'!I147="","",'Identification Form'!I147)</f>
        <v/>
      </c>
      <c r="K55" s="42" t="str">
        <f>IF(OR(J55="",I55=""),"",I55-J55)</f>
        <v/>
      </c>
      <c r="L55" s="1" t="str">
        <f>IF(AND(H55="",I55=""),"",IF(H55="","local amount missing / chybí částka v místní měně",IF(I55="","CZK amount missing / chybí částka v Kč","")))</f>
        <v/>
      </c>
    </row>
    <row r="56" spans="1:12" ht="19.5" customHeight="1" x14ac:dyDescent="0.25">
      <c r="A56" s="1">
        <v>4</v>
      </c>
      <c r="B56" s="158" t="str">
        <f>IF('Identification Form'!B148="","",'Identification Form'!B148)</f>
        <v/>
      </c>
      <c r="C56" s="62"/>
      <c r="D56" s="41" t="str">
        <f>IF('Identification Form'!F148="","",'Identification Form'!F148)</f>
        <v/>
      </c>
      <c r="E56" s="24" t="str">
        <f>IF('Identification Form'!G148="","",'Identification Form'!G148)</f>
        <v/>
      </c>
      <c r="F56" s="24" t="str">
        <f>IF('Identification Form'!H148="","",'Identification Form'!H148)</f>
        <v/>
      </c>
      <c r="G56" s="22"/>
      <c r="H56" s="23"/>
      <c r="I56" s="23"/>
      <c r="J56" s="24" t="str">
        <f>IF('Identification Form'!I148="","",'Identification Form'!I148)</f>
        <v/>
      </c>
      <c r="K56" s="42" t="str">
        <f>IF(OR(J56="",I56=""),"",I56-J56)</f>
        <v/>
      </c>
      <c r="L56" s="1" t="str">
        <f>IF(AND(H56="",I56=""),"",IF(H56="","local amount missing / chybí částka v místní měně",IF(I56="","CZK amount missing / chybí částka v Kč","")))</f>
        <v/>
      </c>
    </row>
    <row r="57" spans="1:12" ht="58.5" customHeight="1" x14ac:dyDescent="0.25">
      <c r="A57" s="103" t="s">
        <v>218</v>
      </c>
      <c r="B57" s="61"/>
      <c r="C57" s="61"/>
      <c r="D57" s="61"/>
      <c r="E57" s="62"/>
      <c r="F57" s="30">
        <f>SUM(F53:F56)</f>
        <v>120</v>
      </c>
      <c r="G57" s="47"/>
      <c r="H57" s="30">
        <f>SUM(H53:H56)</f>
        <v>0</v>
      </c>
      <c r="I57" s="30">
        <f>SUM(I53:I56)</f>
        <v>0</v>
      </c>
      <c r="J57" s="30">
        <f>SUM(J53:J56)</f>
        <v>1499.5126583860244</v>
      </c>
      <c r="K57" s="48" t="str">
        <f>IF($I$65=0,"",I57-J57)</f>
        <v/>
      </c>
      <c r="L57" s="49" t="str">
        <f>IF(OR(F57=0,$I$65=0),"",IF(H57&lt;&gt;F57,"change — describe in Final Report, section 5 / změna — popište v bodě 5 závěrečné zprávy",""))</f>
        <v/>
      </c>
    </row>
    <row r="58" spans="1:12" ht="31.5" customHeight="1" x14ac:dyDescent="0.25">
      <c r="A58" s="64" t="s">
        <v>219</v>
      </c>
      <c r="B58" s="61"/>
      <c r="C58" s="61"/>
      <c r="D58" s="61"/>
      <c r="E58" s="61"/>
      <c r="F58" s="61"/>
      <c r="G58" s="61"/>
      <c r="H58" s="61"/>
      <c r="I58" s="61"/>
      <c r="J58" s="61"/>
      <c r="K58" s="61"/>
      <c r="L58" s="62"/>
    </row>
    <row r="59" spans="1:12" ht="19.5" customHeight="1" x14ac:dyDescent="0.25">
      <c r="A59" s="1">
        <v>1</v>
      </c>
      <c r="B59" s="158" t="str">
        <f>IF('Identification Form'!B151="","",'Identification Form'!B151)</f>
        <v>Bank charges, translation of reports, promotional materials (logo plaques, banners)</v>
      </c>
      <c r="C59" s="62"/>
      <c r="D59" s="41">
        <f>IF('Identification Form'!F151="","",'Identification Form'!F151)</f>
        <v>1</v>
      </c>
      <c r="E59" s="24">
        <f>IF('Identification Form'!G151="","",'Identification Form'!G151)</f>
        <v>350</v>
      </c>
      <c r="F59" s="24">
        <f>IF('Identification Form'!H151="","",'Identification Form'!H151)</f>
        <v>350</v>
      </c>
      <c r="G59" s="22"/>
      <c r="H59" s="23"/>
      <c r="I59" s="23"/>
      <c r="J59" s="24">
        <f>IF('Identification Form'!I151="","",'Identification Form'!I151)</f>
        <v>4373.5785869592382</v>
      </c>
      <c r="K59" s="42" t="str">
        <f>IF(OR(J59="",I59=""),"",I59-J59)</f>
        <v/>
      </c>
      <c r="L59" s="1" t="str">
        <f>IF(AND(H59="",I59=""),"",IF(H59="","local amount missing / chybí částka v místní měně",IF(I59="","CZK amount missing / chybí částka v Kč","")))</f>
        <v/>
      </c>
    </row>
    <row r="60" spans="1:12" ht="19.5" customHeight="1" x14ac:dyDescent="0.25">
      <c r="A60" s="1">
        <v>2</v>
      </c>
      <c r="B60" s="158" t="str">
        <f>IF('Identification Form'!B152="","",'Identification Form'!B152)</f>
        <v/>
      </c>
      <c r="C60" s="62"/>
      <c r="D60" s="41" t="str">
        <f>IF('Identification Form'!F152="","",'Identification Form'!F152)</f>
        <v/>
      </c>
      <c r="E60" s="24" t="str">
        <f>IF('Identification Form'!G152="","",'Identification Form'!G152)</f>
        <v/>
      </c>
      <c r="F60" s="24" t="str">
        <f>IF('Identification Form'!H152="","",'Identification Form'!H152)</f>
        <v/>
      </c>
      <c r="G60" s="22"/>
      <c r="H60" s="23"/>
      <c r="I60" s="23"/>
      <c r="J60" s="24" t="str">
        <f>IF('Identification Form'!I152="","",'Identification Form'!I152)</f>
        <v/>
      </c>
      <c r="K60" s="42" t="str">
        <f>IF(OR(J60="",I60=""),"",I60-J60)</f>
        <v/>
      </c>
      <c r="L60" s="1" t="str">
        <f>IF(AND(H60="",I60=""),"",IF(H60="","local amount missing / chybí částka v místní měně",IF(I60="","CZK amount missing / chybí částka v Kč","")))</f>
        <v/>
      </c>
    </row>
    <row r="61" spans="1:12" ht="19.5" customHeight="1" x14ac:dyDescent="0.25">
      <c r="A61" s="1">
        <v>3</v>
      </c>
      <c r="B61" s="158" t="str">
        <f>IF('Identification Form'!B153="","",'Identification Form'!B153)</f>
        <v/>
      </c>
      <c r="C61" s="62"/>
      <c r="D61" s="41" t="str">
        <f>IF('Identification Form'!F153="","",'Identification Form'!F153)</f>
        <v/>
      </c>
      <c r="E61" s="24" t="str">
        <f>IF('Identification Form'!G153="","",'Identification Form'!G153)</f>
        <v/>
      </c>
      <c r="F61" s="24" t="str">
        <f>IF('Identification Form'!H153="","",'Identification Form'!H153)</f>
        <v/>
      </c>
      <c r="G61" s="22"/>
      <c r="H61" s="23"/>
      <c r="I61" s="23"/>
      <c r="J61" s="24" t="str">
        <f>IF('Identification Form'!I153="","",'Identification Form'!I153)</f>
        <v/>
      </c>
      <c r="K61" s="42" t="str">
        <f>IF(OR(J61="",I61=""),"",I61-J61)</f>
        <v/>
      </c>
      <c r="L61" s="1" t="str">
        <f>IF(AND(H61="",I61=""),"",IF(H61="","local amount missing / chybí částka v místní měně",IF(I61="","CZK amount missing / chybí částka v Kč","")))</f>
        <v/>
      </c>
    </row>
    <row r="62" spans="1:12" ht="19.5" customHeight="1" x14ac:dyDescent="0.25">
      <c r="A62" s="1">
        <v>4</v>
      </c>
      <c r="B62" s="158" t="str">
        <f>IF('Identification Form'!B154="","",'Identification Form'!B154)</f>
        <v/>
      </c>
      <c r="C62" s="62"/>
      <c r="D62" s="41" t="str">
        <f>IF('Identification Form'!F154="","",'Identification Form'!F154)</f>
        <v/>
      </c>
      <c r="E62" s="24" t="str">
        <f>IF('Identification Form'!G154="","",'Identification Form'!G154)</f>
        <v/>
      </c>
      <c r="F62" s="24" t="str">
        <f>IF('Identification Form'!H154="","",'Identification Form'!H154)</f>
        <v/>
      </c>
      <c r="G62" s="22"/>
      <c r="H62" s="23"/>
      <c r="I62" s="23"/>
      <c r="J62" s="24" t="str">
        <f>IF('Identification Form'!I154="","",'Identification Form'!I154)</f>
        <v/>
      </c>
      <c r="K62" s="42" t="str">
        <f>IF(OR(J62="",I62=""),"",I62-J62)</f>
        <v/>
      </c>
      <c r="L62" s="1" t="str">
        <f>IF(AND(H62="",I62=""),"",IF(H62="","local amount missing / chybí částka v místní měně",IF(I62="","CZK amount missing / chybí částka v Kč","")))</f>
        <v/>
      </c>
    </row>
    <row r="63" spans="1:12" ht="46.5" customHeight="1" x14ac:dyDescent="0.25">
      <c r="A63" s="103" t="s">
        <v>221</v>
      </c>
      <c r="B63" s="61"/>
      <c r="C63" s="61"/>
      <c r="D63" s="61"/>
      <c r="E63" s="62"/>
      <c r="F63" s="30">
        <f>SUM(F59:F62)</f>
        <v>350</v>
      </c>
      <c r="G63" s="47"/>
      <c r="H63" s="30">
        <f>SUM(H59:H62)</f>
        <v>0</v>
      </c>
      <c r="I63" s="30">
        <f>SUM(I59:I62)</f>
        <v>0</v>
      </c>
      <c r="J63" s="30">
        <f>SUM(J59:J62)</f>
        <v>4373.5785869592382</v>
      </c>
      <c r="K63" s="48" t="str">
        <f>IF($I$65=0,"",I63-J63)</f>
        <v/>
      </c>
      <c r="L63" s="49" t="str">
        <f>IF(OR(F63=0,$I$65=0),"",IF(H63&lt;&gt;F63,"change — describe in Final Report, section 5 / změna — popište v bodě 5 závěrečné zprávy",""))</f>
        <v/>
      </c>
    </row>
    <row r="64" spans="1:12" ht="31.5" customHeight="1" x14ac:dyDescent="0.25">
      <c r="A64" s="60" t="s">
        <v>222</v>
      </c>
      <c r="B64" s="61"/>
      <c r="C64" s="61"/>
      <c r="D64" s="61"/>
      <c r="E64" s="62"/>
      <c r="F64" s="32">
        <f>F51+F57+F63</f>
        <v>1070</v>
      </c>
      <c r="G64" s="50"/>
      <c r="H64" s="32">
        <f>H51+H57+H63</f>
        <v>0</v>
      </c>
      <c r="I64" s="32">
        <f>I51+I57+I63</f>
        <v>0</v>
      </c>
      <c r="J64" s="32">
        <f>J51+J57+J63</f>
        <v>13370.654537275384</v>
      </c>
      <c r="K64" s="51" t="str">
        <f>IF($I$65=0,"",I64-J64)</f>
        <v/>
      </c>
      <c r="L64" s="50"/>
    </row>
    <row r="65" spans="1:12" ht="31.5" customHeight="1" x14ac:dyDescent="0.25">
      <c r="A65" s="119" t="s">
        <v>280</v>
      </c>
      <c r="B65" s="61"/>
      <c r="C65" s="61"/>
      <c r="D65" s="61"/>
      <c r="E65" s="62"/>
      <c r="F65" s="34">
        <f>F43+F64</f>
        <v>36970</v>
      </c>
      <c r="G65" s="38"/>
      <c r="H65" s="34">
        <f>H43+H64</f>
        <v>0</v>
      </c>
      <c r="I65" s="34">
        <f>I43+I64</f>
        <v>0</v>
      </c>
      <c r="J65" s="34">
        <f>J43+J64</f>
        <v>461974.85817109438</v>
      </c>
      <c r="K65" s="52" t="str">
        <f>IF($I$65=0,"",I65-J65)</f>
        <v/>
      </c>
      <c r="L65" s="38" t="str">
        <f>IF(I71="","",I71)</f>
        <v/>
      </c>
    </row>
    <row r="66" spans="1:12" ht="31.5" customHeight="1" x14ac:dyDescent="0.25">
      <c r="A66" s="74" t="s">
        <v>239</v>
      </c>
      <c r="B66" s="61"/>
      <c r="C66" s="61"/>
      <c r="D66" s="61"/>
      <c r="E66" s="61"/>
      <c r="F66" s="61"/>
      <c r="G66" s="61"/>
      <c r="H66" s="61"/>
      <c r="I66" s="61"/>
      <c r="J66" s="61"/>
      <c r="K66" s="61"/>
      <c r="L66" s="62"/>
    </row>
    <row r="67" spans="1:12" ht="46.5" customHeight="1" x14ac:dyDescent="0.25">
      <c r="A67" s="68" t="s">
        <v>281</v>
      </c>
      <c r="B67" s="61"/>
      <c r="C67" s="61"/>
      <c r="D67" s="61"/>
      <c r="E67" s="62"/>
      <c r="F67" s="24">
        <f>IF('Identification Form'!I173="","",'Identification Form'!I173)</f>
        <v>475834.10391622724</v>
      </c>
      <c r="G67" s="86"/>
      <c r="H67" s="61"/>
      <c r="I67" s="61"/>
      <c r="J67" s="61"/>
      <c r="K67" s="61"/>
      <c r="L67" s="62"/>
    </row>
    <row r="68" spans="1:12" ht="31.5" customHeight="1" x14ac:dyDescent="0.25">
      <c r="A68" s="68" t="s">
        <v>282</v>
      </c>
      <c r="B68" s="61"/>
      <c r="C68" s="61"/>
      <c r="D68" s="61"/>
      <c r="E68" s="62"/>
      <c r="F68" s="34" t="str">
        <f>IF(OR(F67="",F67=0,I65=0,I65=""),"",MAX(0,F67-I65))</f>
        <v/>
      </c>
      <c r="G68" s="93" t="str">
        <f>IF(OR(I65=0,F67="",I65=""),"",IF(I65&gt;F67,"ACTUAL SPENDING EXCEEDS THE APPROVED AMOUNT / SKUTEČNÉ ČERPÁNÍ PŘEKRAČUJE SCHVÁLENOU ČÁSTKU",""))</f>
        <v/>
      </c>
      <c r="H68" s="61"/>
      <c r="I68" s="61"/>
      <c r="J68" s="61"/>
      <c r="K68" s="61"/>
      <c r="L68" s="62"/>
    </row>
    <row r="69" spans="1:12" ht="46.5" customHeight="1" x14ac:dyDescent="0.25">
      <c r="A69" s="68" t="s">
        <v>283</v>
      </c>
      <c r="B69" s="61"/>
      <c r="C69" s="61"/>
      <c r="D69" s="61"/>
      <c r="E69" s="62"/>
      <c r="F69" s="24">
        <f>I64</f>
        <v>0</v>
      </c>
      <c r="G69" s="157" t="str">
        <f>IF(I65=0,"",F69/I65)</f>
        <v/>
      </c>
      <c r="H69" s="62"/>
      <c r="I69" s="93" t="str">
        <f>IF(I65=0,"",IF(G69&gt;0.08,"EXCEEDS THE 8 % LIMIT / PŘEKRAČUJE LIMIT 8 %","within limit / v limitu"))</f>
        <v/>
      </c>
      <c r="J69" s="61"/>
      <c r="K69" s="61"/>
      <c r="L69" s="62"/>
    </row>
    <row r="70" spans="1:12" ht="46.5" customHeight="1" x14ac:dyDescent="0.25">
      <c r="A70" s="68" t="s">
        <v>284</v>
      </c>
      <c r="B70" s="61"/>
      <c r="C70" s="61"/>
      <c r="D70" s="61"/>
      <c r="E70" s="62"/>
      <c r="F70" s="24" t="str">
        <f>IF(OR(I65="",I65=0,'Identification Form'!I157=0),"",MAX(0,I65-'Identification Form'!I157))</f>
        <v/>
      </c>
      <c r="G70" s="74" t="s">
        <v>285</v>
      </c>
      <c r="H70" s="61"/>
      <c r="I70" s="61"/>
      <c r="J70" s="61"/>
      <c r="K70" s="61"/>
      <c r="L70" s="62"/>
    </row>
    <row r="71" spans="1:12" ht="72" customHeight="1" x14ac:dyDescent="0.25">
      <c r="A71" s="68" t="s">
        <v>286</v>
      </c>
      <c r="B71" s="61"/>
      <c r="C71" s="61"/>
      <c r="D71" s="61"/>
      <c r="E71" s="62"/>
      <c r="F71" s="24" t="str">
        <f>IF($I$65=0,"",SUMIF(K6:K19,"&gt;0")+SUMIF(K22:K27,"&gt;0")+SUMIF(K30:K35,"&gt;0")+SUMIF(K38:K41,"&gt;0")+SUMIF(K46:K50,"&gt;0")+SUMIF(K53:K56,"&gt;0")+SUMIF(K59:K62,"&gt;0"))</f>
        <v/>
      </c>
      <c r="G71" s="157" t="str">
        <f>IF(OR(F71="",'Identification Form'!I157=0),"",F71/'Identification Form'!I157)</f>
        <v/>
      </c>
      <c r="H71" s="62"/>
      <c r="I71" s="93" t="str">
        <f>IF(G71="","",IF(F71=0,"no budget change / bez změny rozpočtu",IF(G71&gt;0.1,"ABOVE 10 % — APPROVED CHANGE REQUEST REQUIRED / NAD 10 % — NUTNÁ SCHVÁLENÁ ŽÁDOST O ZMĚNU","up to 10 % — prior notification was sufficient / do 10 % — stačilo předchozí oznámení")))</f>
        <v/>
      </c>
      <c r="J71" s="61"/>
      <c r="K71" s="61"/>
      <c r="L71" s="62"/>
    </row>
    <row r="72" spans="1:12" ht="31.5" customHeight="1" x14ac:dyDescent="0.25">
      <c r="A72" s="116" t="s">
        <v>287</v>
      </c>
      <c r="B72" s="61"/>
      <c r="C72" s="61"/>
      <c r="D72" s="61"/>
      <c r="E72" s="61"/>
      <c r="F72" s="61"/>
      <c r="G72" s="61"/>
      <c r="H72" s="61"/>
      <c r="I72" s="61"/>
      <c r="J72" s="61"/>
      <c r="K72" s="61"/>
      <c r="L72" s="62"/>
    </row>
    <row r="73" spans="1:12" ht="58.5" customHeight="1" x14ac:dyDescent="0.25">
      <c r="A73" s="159" t="s">
        <v>288</v>
      </c>
      <c r="B73" s="61"/>
      <c r="C73" s="61"/>
      <c r="D73" s="61"/>
      <c r="E73" s="62"/>
      <c r="F73" s="40" t="s">
        <v>289</v>
      </c>
      <c r="G73" s="162" t="s">
        <v>290</v>
      </c>
      <c r="H73" s="62"/>
      <c r="I73" s="162"/>
      <c r="J73" s="61"/>
      <c r="K73" s="61"/>
      <c r="L73" s="62"/>
    </row>
    <row r="74" spans="1:12" ht="31.5" customHeight="1" x14ac:dyDescent="0.25">
      <c r="A74" s="119" t="s">
        <v>291</v>
      </c>
      <c r="B74" s="61"/>
      <c r="C74" s="61"/>
      <c r="D74" s="61"/>
      <c r="E74" s="62"/>
      <c r="F74" s="34">
        <f>'Identification Form'!H168</f>
        <v>5000</v>
      </c>
      <c r="G74" s="163"/>
      <c r="H74" s="55"/>
      <c r="I74" s="161"/>
      <c r="J74" s="61"/>
      <c r="K74" s="61"/>
      <c r="L74" s="62"/>
    </row>
    <row r="75" spans="1:12" ht="31.5" customHeight="1" x14ac:dyDescent="0.25">
      <c r="A75" s="74" t="s">
        <v>292</v>
      </c>
      <c r="B75" s="61"/>
      <c r="C75" s="61"/>
      <c r="D75" s="61"/>
      <c r="E75" s="61"/>
      <c r="F75" s="61"/>
      <c r="G75" s="61"/>
      <c r="H75" s="61"/>
      <c r="I75" s="61"/>
      <c r="J75" s="61"/>
      <c r="K75" s="61"/>
      <c r="L75" s="62"/>
    </row>
    <row r="76" spans="1:12" ht="105" customHeight="1" x14ac:dyDescent="0.25">
      <c r="A76" s="74" t="s">
        <v>293</v>
      </c>
      <c r="B76" s="61"/>
      <c r="C76" s="61"/>
      <c r="D76" s="61"/>
      <c r="E76" s="61"/>
      <c r="F76" s="61"/>
      <c r="G76" s="61"/>
      <c r="H76" s="61"/>
      <c r="I76" s="61"/>
      <c r="J76" s="61"/>
      <c r="K76" s="61"/>
      <c r="L76" s="62"/>
    </row>
    <row r="77" spans="1:12" ht="35.25" customHeight="1" x14ac:dyDescent="0.25">
      <c r="A77" s="116" t="s">
        <v>294</v>
      </c>
      <c r="B77" s="61"/>
      <c r="C77" s="61"/>
      <c r="D77" s="61"/>
      <c r="E77" s="61"/>
      <c r="F77" s="61"/>
      <c r="G77" s="61"/>
      <c r="H77" s="61"/>
      <c r="I77" s="61"/>
      <c r="J77" s="61"/>
      <c r="K77" s="61"/>
      <c r="L77" s="62"/>
    </row>
    <row r="78" spans="1:12" ht="31.5" customHeight="1" x14ac:dyDescent="0.25">
      <c r="A78" s="68" t="s">
        <v>256</v>
      </c>
      <c r="B78" s="61"/>
      <c r="C78" s="61"/>
      <c r="D78" s="62"/>
      <c r="E78" s="53"/>
      <c r="F78" s="54"/>
      <c r="G78" s="54"/>
      <c r="H78" s="54"/>
      <c r="I78" s="54"/>
      <c r="J78" s="54"/>
      <c r="K78" s="54"/>
      <c r="L78" s="55"/>
    </row>
    <row r="79" spans="1:12" ht="27.75" customHeight="1" x14ac:dyDescent="0.25">
      <c r="A79" s="68" t="s">
        <v>295</v>
      </c>
      <c r="B79" s="61"/>
      <c r="C79" s="61"/>
      <c r="D79" s="62"/>
      <c r="E79" s="53"/>
      <c r="F79" s="54"/>
      <c r="G79" s="54"/>
      <c r="H79" s="54"/>
      <c r="I79" s="54"/>
      <c r="J79" s="54"/>
      <c r="K79" s="54"/>
      <c r="L79" s="55"/>
    </row>
    <row r="80" spans="1:12" ht="30.75" customHeight="1" x14ac:dyDescent="0.25">
      <c r="A80" s="68" t="s">
        <v>296</v>
      </c>
      <c r="B80" s="61"/>
      <c r="C80" s="61"/>
      <c r="D80" s="62"/>
      <c r="E80" s="53"/>
      <c r="F80" s="54"/>
      <c r="G80" s="54"/>
      <c r="H80" s="54"/>
      <c r="I80" s="54"/>
      <c r="J80" s="54"/>
      <c r="K80" s="54"/>
      <c r="L80" s="55"/>
    </row>
    <row r="81" spans="1:12" ht="27" customHeight="1" x14ac:dyDescent="0.25">
      <c r="A81" s="68" t="s">
        <v>262</v>
      </c>
      <c r="B81" s="61"/>
      <c r="C81" s="61"/>
      <c r="D81" s="62"/>
      <c r="E81" s="53"/>
      <c r="F81" s="54"/>
      <c r="G81" s="54"/>
      <c r="H81" s="54"/>
      <c r="I81" s="54"/>
      <c r="J81" s="54"/>
      <c r="K81" s="54"/>
      <c r="L81" s="55"/>
    </row>
    <row r="82" spans="1:12" ht="26.25" customHeight="1" x14ac:dyDescent="0.25">
      <c r="A82" s="68" t="s">
        <v>25</v>
      </c>
      <c r="B82" s="61"/>
      <c r="C82" s="61"/>
      <c r="D82" s="62"/>
      <c r="E82" s="53"/>
      <c r="F82" s="54"/>
      <c r="G82" s="54"/>
      <c r="H82" s="54"/>
      <c r="I82" s="54"/>
      <c r="J82" s="54"/>
      <c r="K82" s="54"/>
      <c r="L82" s="55"/>
    </row>
    <row r="83" spans="1:12" ht="32.25" customHeight="1" x14ac:dyDescent="0.25">
      <c r="A83" s="68" t="s">
        <v>263</v>
      </c>
      <c r="B83" s="61"/>
      <c r="C83" s="61"/>
      <c r="D83" s="62"/>
      <c r="E83" s="53"/>
      <c r="F83" s="54"/>
      <c r="G83" s="54"/>
      <c r="H83" s="54"/>
      <c r="I83" s="54"/>
      <c r="J83" s="54"/>
      <c r="K83" s="54"/>
      <c r="L83" s="55"/>
    </row>
    <row r="84" spans="1:12" ht="62.25" customHeight="1" x14ac:dyDescent="0.25">
      <c r="A84" s="160" t="s">
        <v>297</v>
      </c>
      <c r="B84" s="61"/>
      <c r="C84" s="61"/>
      <c r="D84" s="61"/>
      <c r="E84" s="61"/>
      <c r="F84" s="61"/>
      <c r="G84" s="61"/>
      <c r="H84" s="61"/>
      <c r="I84" s="61"/>
      <c r="J84" s="61"/>
      <c r="K84" s="61"/>
      <c r="L84" s="62"/>
    </row>
    <row r="85" spans="1:12" ht="62.25" customHeight="1" x14ac:dyDescent="0.25"/>
  </sheetData>
  <sheetProtection sheet="1" formatCells="0" formatColumns="0" formatRows="0" insertColumns="0" insertRows="0" insertHyperlinks="0"/>
  <mergeCells count="101">
    <mergeCell ref="A1:L1"/>
    <mergeCell ref="E81:L81"/>
    <mergeCell ref="A68:E68"/>
    <mergeCell ref="B50:C50"/>
    <mergeCell ref="A76:L76"/>
    <mergeCell ref="B23:C23"/>
    <mergeCell ref="A82:D82"/>
    <mergeCell ref="A74:E74"/>
    <mergeCell ref="B8:C8"/>
    <mergeCell ref="G74:H74"/>
    <mergeCell ref="E80:L80"/>
    <mergeCell ref="B10:C10"/>
    <mergeCell ref="A45:L45"/>
    <mergeCell ref="A84:L84"/>
    <mergeCell ref="A66:L66"/>
    <mergeCell ref="B56:C56"/>
    <mergeCell ref="A2:L2"/>
    <mergeCell ref="I74:L74"/>
    <mergeCell ref="A83:D83"/>
    <mergeCell ref="I69:L69"/>
    <mergeCell ref="B60:C60"/>
    <mergeCell ref="B17:C17"/>
    <mergeCell ref="G69:H69"/>
    <mergeCell ref="A72:L72"/>
    <mergeCell ref="A29:L29"/>
    <mergeCell ref="B19:C19"/>
    <mergeCell ref="A42:E42"/>
    <mergeCell ref="A78:D78"/>
    <mergeCell ref="B34:C34"/>
    <mergeCell ref="A44:L44"/>
    <mergeCell ref="B9:C9"/>
    <mergeCell ref="G73:H73"/>
    <mergeCell ref="A80:D80"/>
    <mergeCell ref="B30:C30"/>
    <mergeCell ref="A20:E20"/>
    <mergeCell ref="A28:E28"/>
    <mergeCell ref="G67:L67"/>
    <mergeCell ref="E79:L79"/>
    <mergeCell ref="A69:E69"/>
    <mergeCell ref="E82:L82"/>
    <mergeCell ref="B11:C11"/>
    <mergeCell ref="A5:L5"/>
    <mergeCell ref="B53:C53"/>
    <mergeCell ref="A4:L4"/>
    <mergeCell ref="A79:D79"/>
    <mergeCell ref="A58:L58"/>
    <mergeCell ref="B6:C6"/>
    <mergeCell ref="B15:C15"/>
    <mergeCell ref="I71:L71"/>
    <mergeCell ref="G70:L70"/>
    <mergeCell ref="A67:E67"/>
    <mergeCell ref="B54:C54"/>
    <mergeCell ref="A73:E73"/>
    <mergeCell ref="B7:C7"/>
    <mergeCell ref="B47:C47"/>
    <mergeCell ref="B62:C62"/>
    <mergeCell ref="A64:E64"/>
    <mergeCell ref="B59:C59"/>
    <mergeCell ref="I73:L73"/>
    <mergeCell ref="B46:C46"/>
    <mergeCell ref="A51:E51"/>
    <mergeCell ref="A63:E63"/>
    <mergeCell ref="B32:C32"/>
    <mergeCell ref="B26:C26"/>
    <mergeCell ref="B41:C41"/>
    <mergeCell ref="B35:C35"/>
    <mergeCell ref="B16:C16"/>
    <mergeCell ref="B25:C25"/>
    <mergeCell ref="B3:C3"/>
    <mergeCell ref="A75:L75"/>
    <mergeCell ref="A36:E36"/>
    <mergeCell ref="B27:C27"/>
    <mergeCell ref="B18:C18"/>
    <mergeCell ref="G68:L68"/>
    <mergeCell ref="A70:E70"/>
    <mergeCell ref="B39:C39"/>
    <mergeCell ref="B48:C48"/>
    <mergeCell ref="A37:L37"/>
    <mergeCell ref="G71:H71"/>
    <mergeCell ref="B22:C22"/>
    <mergeCell ref="A81:D81"/>
    <mergeCell ref="B31:C31"/>
    <mergeCell ref="A21:L21"/>
    <mergeCell ref="E83:L83"/>
    <mergeCell ref="B12:C12"/>
    <mergeCell ref="A65:E65"/>
    <mergeCell ref="B61:C61"/>
    <mergeCell ref="B14:C14"/>
    <mergeCell ref="B13:C13"/>
    <mergeCell ref="E78:L78"/>
    <mergeCell ref="B38:C38"/>
    <mergeCell ref="A52:L52"/>
    <mergeCell ref="A57:E57"/>
    <mergeCell ref="A71:E71"/>
    <mergeCell ref="B40:C40"/>
    <mergeCell ref="A77:L77"/>
    <mergeCell ref="B49:C49"/>
    <mergeCell ref="B55:C55"/>
    <mergeCell ref="B24:C24"/>
    <mergeCell ref="A43:E43"/>
    <mergeCell ref="B33:C33"/>
  </mergeCells>
  <conditionalFormatting sqref="G68:L68">
    <cfRule type="cellIs" dxfId="5" priority="2" operator="equal">
      <formula>"ACTUAL SPENDING EXCEEDS THE APPROVED AMOUNT / SKUTEČNÉ ČERPÁNÍ PŘEKRAČUJE SCHVÁLENOU ČÁSTKU"</formula>
    </cfRule>
  </conditionalFormatting>
  <conditionalFormatting sqref="I69:L69">
    <cfRule type="cellIs" dxfId="4" priority="3" operator="equal">
      <formula>"EXCEEDS THE 8 % LIMIT / PŘEKRAČUJE LIMIT 8 %"</formula>
    </cfRule>
  </conditionalFormatting>
  <conditionalFormatting sqref="L4:L65">
    <cfRule type="cellIs" dxfId="3" priority="4" operator="equal">
      <formula>"change request required / nutná žádost o změnu"</formula>
    </cfRule>
  </conditionalFormatting>
  <printOptions horizontalCentered="1"/>
  <pageMargins left="0.3" right="0.3" top="0.4" bottom="0.4" header="0.511811023622047" footer="0.511811023622047"/>
  <rowBreaks count="2" manualBreakCount="2">
    <brk id="36" max="16383" man="1"/>
    <brk id="74"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82"/>
  <sheetViews>
    <sheetView tabSelected="1" zoomScale="125" zoomScaleNormal="125" workbookViewId="0">
      <selection activeCell="M1" sqref="M1"/>
    </sheetView>
  </sheetViews>
  <sheetFormatPr defaultColWidth="8.42578125" defaultRowHeight="15" x14ac:dyDescent="0.25"/>
  <cols>
    <col min="1" max="1" width="5" customWidth="1"/>
    <col min="2" max="2" width="24" customWidth="1"/>
    <col min="3" max="3" width="13" customWidth="1"/>
    <col min="4" max="5" width="9" customWidth="1"/>
    <col min="6" max="6" width="14.140625" customWidth="1"/>
    <col min="7" max="7" width="13" customWidth="1"/>
    <col min="8" max="8" width="15" customWidth="1"/>
    <col min="9" max="9" width="13" customWidth="1"/>
    <col min="10" max="10" width="9" customWidth="1"/>
    <col min="11" max="11" width="16" customWidth="1"/>
    <col min="12" max="12" width="11" customWidth="1"/>
  </cols>
  <sheetData>
    <row r="1" spans="1:12" ht="45" customHeight="1" x14ac:dyDescent="0.25">
      <c r="A1" s="145" t="s">
        <v>298</v>
      </c>
      <c r="B1" s="61"/>
      <c r="C1" s="61"/>
      <c r="D1" s="61"/>
      <c r="E1" s="61"/>
      <c r="F1" s="61"/>
      <c r="G1" s="61"/>
      <c r="H1" s="61"/>
      <c r="I1" s="61"/>
      <c r="J1" s="61"/>
      <c r="K1" s="61"/>
      <c r="L1" s="62"/>
    </row>
    <row r="2" spans="1:12" ht="147" customHeight="1" x14ac:dyDescent="0.25">
      <c r="A2" s="63" t="s">
        <v>299</v>
      </c>
      <c r="B2" s="61"/>
      <c r="C2" s="61"/>
      <c r="D2" s="61"/>
      <c r="E2" s="61"/>
      <c r="F2" s="61"/>
      <c r="G2" s="61"/>
      <c r="H2" s="61"/>
      <c r="I2" s="61"/>
      <c r="J2" s="61"/>
      <c r="K2" s="61"/>
      <c r="L2" s="62"/>
    </row>
    <row r="3" spans="1:12" ht="31.5" customHeight="1" x14ac:dyDescent="0.25">
      <c r="A3" s="68" t="s">
        <v>300</v>
      </c>
      <c r="B3" s="62"/>
      <c r="C3" s="158" t="str">
        <f>IF('Identification Form'!C3="","",'Identification Form'!C3)</f>
        <v>Safe Waters – Youth Water Rescue Training and Response Unit</v>
      </c>
      <c r="D3" s="61"/>
      <c r="E3" s="61"/>
      <c r="F3" s="62"/>
      <c r="G3" s="68" t="s">
        <v>301</v>
      </c>
      <c r="H3" s="62"/>
      <c r="I3" s="158" t="str">
        <f>IF('Identification Form'!I3="","",'Identification Form'!I3)</f>
        <v/>
      </c>
      <c r="J3" s="61"/>
      <c r="K3" s="61"/>
      <c r="L3" s="62"/>
    </row>
    <row r="4" spans="1:12" ht="31.5" customHeight="1" x14ac:dyDescent="0.25">
      <c r="A4" s="68" t="s">
        <v>5</v>
      </c>
      <c r="B4" s="62"/>
      <c r="C4" s="158" t="str">
        <f>IF('Identification Form'!C4="","",'Identification Form'!C4)</f>
        <v>Bosnia and Herzegovina</v>
      </c>
      <c r="D4" s="61"/>
      <c r="E4" s="61"/>
      <c r="F4" s="62"/>
      <c r="G4" s="68" t="s">
        <v>302</v>
      </c>
      <c r="H4" s="62"/>
      <c r="I4" s="158" t="str">
        <f>IF('Identification Form'!I4="","",'Identification Form'!I4)</f>
        <v>Sarajevo (club headquarters); Jablaničko Lake (rescue boat base) and Boračko Lake, Konjic Municipality, Herzegovina-Neretva Canton</v>
      </c>
      <c r="J4" s="61"/>
      <c r="K4" s="61"/>
      <c r="L4" s="62"/>
    </row>
    <row r="5" spans="1:12" ht="31.5" customHeight="1" x14ac:dyDescent="0.25">
      <c r="A5" s="68" t="s">
        <v>303</v>
      </c>
      <c r="B5" s="62"/>
      <c r="C5" s="158" t="str">
        <f>IF('Identification Form'!C5="","",'Identification Form'!C5)</f>
        <v>April 2027</v>
      </c>
      <c r="D5" s="61"/>
      <c r="E5" s="61"/>
      <c r="F5" s="62"/>
      <c r="G5" s="68" t="s">
        <v>304</v>
      </c>
      <c r="H5" s="62"/>
      <c r="I5" s="158" t="str">
        <f>IF('Identification Form'!I5="","",'Identification Form'!I5)</f>
        <v>October 2027</v>
      </c>
      <c r="J5" s="61"/>
      <c r="K5" s="61"/>
      <c r="L5" s="62"/>
    </row>
    <row r="6" spans="1:12" ht="60.75" customHeight="1" x14ac:dyDescent="0.25">
      <c r="A6" s="68" t="s">
        <v>305</v>
      </c>
      <c r="B6" s="62"/>
      <c r="C6" s="111"/>
      <c r="D6" s="54"/>
      <c r="E6" s="54"/>
      <c r="F6" s="55"/>
      <c r="G6" s="68" t="s">
        <v>306</v>
      </c>
      <c r="H6" s="62"/>
      <c r="I6" s="111"/>
      <c r="J6" s="54"/>
      <c r="K6" s="54"/>
      <c r="L6" s="55"/>
    </row>
    <row r="7" spans="1:12" ht="31.5" customHeight="1" x14ac:dyDescent="0.25">
      <c r="A7" s="68" t="s">
        <v>307</v>
      </c>
      <c r="B7" s="61"/>
      <c r="C7" s="61"/>
      <c r="D7" s="61"/>
      <c r="E7" s="62"/>
      <c r="F7" s="9"/>
      <c r="G7" s="68" t="s">
        <v>308</v>
      </c>
      <c r="H7" s="62"/>
      <c r="I7" s="111"/>
      <c r="J7" s="54"/>
      <c r="K7" s="54"/>
      <c r="L7" s="55"/>
    </row>
    <row r="8" spans="1:12" ht="31.5" customHeight="1" x14ac:dyDescent="0.25">
      <c r="A8" s="116" t="s">
        <v>309</v>
      </c>
      <c r="B8" s="61"/>
      <c r="C8" s="61"/>
      <c r="D8" s="61"/>
      <c r="E8" s="61"/>
      <c r="F8" s="61"/>
      <c r="G8" s="61"/>
      <c r="H8" s="61"/>
      <c r="I8" s="61"/>
      <c r="J8" s="61"/>
      <c r="K8" s="61"/>
      <c r="L8" s="62"/>
    </row>
    <row r="9" spans="1:12" ht="39" customHeight="1" x14ac:dyDescent="0.25">
      <c r="A9" s="68" t="s">
        <v>310</v>
      </c>
      <c r="B9" s="61"/>
      <c r="C9" s="61"/>
      <c r="D9" s="61"/>
      <c r="E9" s="61"/>
      <c r="F9" s="62"/>
      <c r="G9" s="164">
        <f>IF('Identification Form'!I173="","",'Identification Form'!I173)</f>
        <v>475834.10391622724</v>
      </c>
      <c r="H9" s="61"/>
      <c r="I9" s="61"/>
      <c r="J9" s="61"/>
      <c r="K9" s="61"/>
      <c r="L9" s="62"/>
    </row>
    <row r="10" spans="1:12" ht="31.5" customHeight="1" x14ac:dyDescent="0.25">
      <c r="A10" s="68" t="s">
        <v>311</v>
      </c>
      <c r="B10" s="61"/>
      <c r="C10" s="61"/>
      <c r="D10" s="61"/>
      <c r="E10" s="61"/>
      <c r="F10" s="62"/>
      <c r="G10" s="164" t="str">
        <f>IF('Financial Report'!I65=0,"",'Financial Report'!I65)</f>
        <v/>
      </c>
      <c r="H10" s="61"/>
      <c r="I10" s="61"/>
      <c r="J10" s="61"/>
      <c r="K10" s="61"/>
      <c r="L10" s="62"/>
    </row>
    <row r="11" spans="1:12" ht="31.5" customHeight="1" x14ac:dyDescent="0.25">
      <c r="A11" s="68" t="s">
        <v>284</v>
      </c>
      <c r="B11" s="61"/>
      <c r="C11" s="61"/>
      <c r="D11" s="61"/>
      <c r="E11" s="61"/>
      <c r="F11" s="62"/>
      <c r="G11" s="164" t="str">
        <f>IF('Financial Report'!F70="","",'Financial Report'!F70)</f>
        <v/>
      </c>
      <c r="H11" s="61"/>
      <c r="I11" s="61"/>
      <c r="J11" s="61"/>
      <c r="K11" s="61"/>
      <c r="L11" s="62"/>
    </row>
    <row r="12" spans="1:12" ht="31.5" customHeight="1" x14ac:dyDescent="0.25">
      <c r="A12" s="68" t="s">
        <v>312</v>
      </c>
      <c r="B12" s="61"/>
      <c r="C12" s="61"/>
      <c r="D12" s="61"/>
      <c r="E12" s="61"/>
      <c r="F12" s="62"/>
      <c r="G12" s="164" t="str">
        <f>IF('Financial Report'!F68="","",'Financial Report'!F68)</f>
        <v/>
      </c>
      <c r="H12" s="61"/>
      <c r="I12" s="61"/>
      <c r="J12" s="61"/>
      <c r="K12" s="61"/>
      <c r="L12" s="62"/>
    </row>
    <row r="13" spans="1:12" ht="36" customHeight="1" x14ac:dyDescent="0.25">
      <c r="A13" s="68" t="s">
        <v>313</v>
      </c>
      <c r="B13" s="61"/>
      <c r="C13" s="61"/>
      <c r="D13" s="61"/>
      <c r="E13" s="61"/>
      <c r="F13" s="62"/>
      <c r="G13" s="164" t="str">
        <f>IF('Financial Report'!G74=0,"",'Financial Report'!G74)</f>
        <v/>
      </c>
      <c r="H13" s="61"/>
      <c r="I13" s="61"/>
      <c r="J13" s="61"/>
      <c r="K13" s="61"/>
      <c r="L13" s="62"/>
    </row>
    <row r="14" spans="1:12" ht="33" customHeight="1" x14ac:dyDescent="0.25">
      <c r="A14" s="116" t="s">
        <v>314</v>
      </c>
      <c r="B14" s="61"/>
      <c r="C14" s="61"/>
      <c r="D14" s="61"/>
      <c r="E14" s="61"/>
      <c r="F14" s="61"/>
      <c r="G14" s="61"/>
      <c r="H14" s="61"/>
      <c r="I14" s="61"/>
      <c r="J14" s="61"/>
      <c r="K14" s="61"/>
      <c r="L14" s="62"/>
    </row>
    <row r="15" spans="1:12" ht="31.5" customHeight="1" x14ac:dyDescent="0.25">
      <c r="A15" s="68" t="s">
        <v>21</v>
      </c>
      <c r="B15" s="61"/>
      <c r="C15" s="61"/>
      <c r="D15" s="62"/>
      <c r="E15" s="158" t="str">
        <f>IF('Identification Form'!E18="","",'Identification Form'!E18)</f>
        <v>Klub vodenih sportova „S.C.U.B.A.“ Sarajevo (KVS SCUBA)</v>
      </c>
      <c r="F15" s="61"/>
      <c r="G15" s="61"/>
      <c r="H15" s="61"/>
      <c r="I15" s="61"/>
      <c r="J15" s="61"/>
      <c r="K15" s="61"/>
      <c r="L15" s="62"/>
    </row>
    <row r="16" spans="1:12" ht="31.5" customHeight="1" x14ac:dyDescent="0.25">
      <c r="A16" s="68" t="s">
        <v>315</v>
      </c>
      <c r="B16" s="61"/>
      <c r="C16" s="61"/>
      <c r="D16" s="62"/>
      <c r="E16" s="158" t="str">
        <f>IF('Identification Form'!E188="","",'Identification Form'!E188)</f>
        <v>Adnan Drnda, President of KVS SCUBA</v>
      </c>
      <c r="F16" s="61"/>
      <c r="G16" s="61"/>
      <c r="H16" s="61"/>
      <c r="I16" s="61"/>
      <c r="J16" s="61"/>
      <c r="K16" s="61"/>
      <c r="L16" s="62"/>
    </row>
    <row r="17" spans="1:12" ht="31.5" customHeight="1" x14ac:dyDescent="0.25">
      <c r="A17" s="68" t="s">
        <v>25</v>
      </c>
      <c r="B17" s="61"/>
      <c r="C17" s="61"/>
      <c r="D17" s="62"/>
      <c r="E17" s="158" t="str">
        <f>IF('Identification Form'!E20="","",'Identification Form'!E20)</f>
        <v>kvsscuba@gmail.com</v>
      </c>
      <c r="F17" s="61"/>
      <c r="G17" s="61"/>
      <c r="H17" s="61"/>
      <c r="I17" s="61"/>
      <c r="J17" s="61"/>
      <c r="K17" s="61"/>
      <c r="L17" s="62"/>
    </row>
    <row r="18" spans="1:12" ht="31.5" customHeight="1" x14ac:dyDescent="0.25">
      <c r="A18" s="68" t="s">
        <v>316</v>
      </c>
      <c r="B18" s="61"/>
      <c r="C18" s="61"/>
      <c r="D18" s="62"/>
      <c r="E18" s="53"/>
      <c r="F18" s="54"/>
      <c r="G18" s="54"/>
      <c r="H18" s="54"/>
      <c r="I18" s="54"/>
      <c r="J18" s="54"/>
      <c r="K18" s="54"/>
      <c r="L18" s="55"/>
    </row>
    <row r="19" spans="1:12" ht="31.5" customHeight="1" x14ac:dyDescent="0.25">
      <c r="A19" s="116" t="s">
        <v>317</v>
      </c>
      <c r="B19" s="61"/>
      <c r="C19" s="61"/>
      <c r="D19" s="61"/>
      <c r="E19" s="61"/>
      <c r="F19" s="61"/>
      <c r="G19" s="61"/>
      <c r="H19" s="61"/>
      <c r="I19" s="61"/>
      <c r="J19" s="61"/>
      <c r="K19" s="61"/>
      <c r="L19" s="62"/>
    </row>
    <row r="20" spans="1:12" ht="31.5" customHeight="1" x14ac:dyDescent="0.25">
      <c r="A20" s="159" t="s">
        <v>36</v>
      </c>
      <c r="B20" s="61"/>
      <c r="C20" s="62"/>
      <c r="D20" s="162" t="s">
        <v>318</v>
      </c>
      <c r="E20" s="62"/>
      <c r="F20" s="162" t="s">
        <v>319</v>
      </c>
      <c r="G20" s="62"/>
      <c r="H20" s="40" t="s">
        <v>320</v>
      </c>
      <c r="I20" s="159" t="s">
        <v>321</v>
      </c>
      <c r="J20" s="61"/>
      <c r="K20" s="61"/>
      <c r="L20" s="62"/>
    </row>
    <row r="21" spans="1:12" ht="31.5" customHeight="1" x14ac:dyDescent="0.25">
      <c r="A21" s="68" t="s">
        <v>39</v>
      </c>
      <c r="B21" s="61"/>
      <c r="C21" s="62"/>
      <c r="D21" s="165">
        <f>IF('Identification Form'!E28="","",'Identification Form'!E28)</f>
        <v>15</v>
      </c>
      <c r="E21" s="62"/>
      <c r="F21" s="102"/>
      <c r="G21" s="55"/>
      <c r="H21" s="25" t="str">
        <f>IF(OR(D21="",D21=0,F21=""),"",F21/D21)</f>
        <v/>
      </c>
      <c r="I21" s="53"/>
      <c r="J21" s="54"/>
      <c r="K21" s="54"/>
      <c r="L21" s="55"/>
    </row>
    <row r="22" spans="1:12" ht="31.5" customHeight="1" x14ac:dyDescent="0.25">
      <c r="A22" s="68" t="s">
        <v>41</v>
      </c>
      <c r="B22" s="61"/>
      <c r="C22" s="62"/>
      <c r="D22" s="165">
        <f>IF('Identification Form'!E29="","",'Identification Form'!E29)</f>
        <v>5000</v>
      </c>
      <c r="E22" s="62"/>
      <c r="F22" s="102"/>
      <c r="G22" s="55"/>
      <c r="H22" s="25" t="str">
        <f>IF(OR(D22="",D22=0,F22=""),"",F22/D22)</f>
        <v/>
      </c>
      <c r="I22" s="53"/>
      <c r="J22" s="54"/>
      <c r="K22" s="54"/>
      <c r="L22" s="55"/>
    </row>
    <row r="23" spans="1:12" ht="31.5" customHeight="1" x14ac:dyDescent="0.25">
      <c r="A23" s="116" t="s">
        <v>322</v>
      </c>
      <c r="B23" s="61"/>
      <c r="C23" s="61"/>
      <c r="D23" s="61"/>
      <c r="E23" s="61"/>
      <c r="F23" s="61"/>
      <c r="G23" s="61"/>
      <c r="H23" s="61"/>
      <c r="I23" s="61"/>
      <c r="J23" s="61"/>
      <c r="K23" s="61"/>
      <c r="L23" s="62"/>
    </row>
    <row r="24" spans="1:12" ht="51.75" customHeight="1" x14ac:dyDescent="0.25">
      <c r="A24" s="63" t="s">
        <v>323</v>
      </c>
      <c r="B24" s="61"/>
      <c r="C24" s="61"/>
      <c r="D24" s="61"/>
      <c r="E24" s="61"/>
      <c r="F24" s="61"/>
      <c r="G24" s="61"/>
      <c r="H24" s="61"/>
      <c r="I24" s="61"/>
      <c r="J24" s="61"/>
      <c r="K24" s="61"/>
      <c r="L24" s="62"/>
    </row>
    <row r="25" spans="1:12" ht="50.25" customHeight="1" x14ac:dyDescent="0.25">
      <c r="A25" s="21" t="s">
        <v>77</v>
      </c>
      <c r="B25" s="110" t="s">
        <v>324</v>
      </c>
      <c r="C25" s="62"/>
      <c r="D25" s="110" t="s">
        <v>80</v>
      </c>
      <c r="E25" s="62"/>
      <c r="F25" s="21" t="s">
        <v>325</v>
      </c>
      <c r="G25" s="21" t="s">
        <v>326</v>
      </c>
      <c r="H25" s="21" t="s">
        <v>327</v>
      </c>
      <c r="I25" s="110" t="s">
        <v>328</v>
      </c>
      <c r="J25" s="62"/>
      <c r="K25" s="110" t="s">
        <v>329</v>
      </c>
      <c r="L25" s="62"/>
    </row>
    <row r="26" spans="1:12" ht="25.5" customHeight="1" x14ac:dyDescent="0.25">
      <c r="A26" s="1">
        <v>1</v>
      </c>
      <c r="B26" s="158" t="str">
        <f>IF('Identification Form'!B59="","",'Identification Form'!B59)</f>
        <v>Procurement of new electric-powered inflatable boat, electric outboard motor, registration and insurance</v>
      </c>
      <c r="C26" s="62"/>
      <c r="D26" s="158" t="str">
        <f>IF('Identification Form'!F59="","",'Identification Form'!F59)</f>
        <v>Number of boats procured and registered</v>
      </c>
      <c r="E26" s="62"/>
      <c r="F26" s="1">
        <f>IF('Identification Form'!H59="","",'Identification Form'!H59)</f>
        <v>1</v>
      </c>
      <c r="G26" s="9"/>
      <c r="H26" s="1" t="str">
        <f t="shared" ref="H26:H35" si="0">IF(B26="","",IF(G26="","not reported / nevykázáno",IF(AND(ISNUMBER(F26),ISNUMBER(G26)),IF(G26&gt;=F26,"achieved / splněno",IF(G26&gt;=F26*0.5,"partially achieved / částečně splněno","not achieved / nesplněno")),"see explanation")))</f>
        <v>not reported / nevykázáno</v>
      </c>
      <c r="I26" s="56"/>
      <c r="J26" s="55"/>
      <c r="K26" s="53"/>
      <c r="L26" s="55"/>
    </row>
    <row r="27" spans="1:12" ht="25.5" customHeight="1" x14ac:dyDescent="0.25">
      <c r="A27" s="1">
        <v>2</v>
      </c>
      <c r="B27" s="158" t="str">
        <f>IF('Identification Form'!B60="","",'Identification Form'!B60)</f>
        <v>Procurement of dry suits with undergarments, rescue set (buoys, line, oxygen kit), AED and VHF radios</v>
      </c>
      <c r="C27" s="62"/>
      <c r="D27" s="158" t="str">
        <f>IF('Identification Form'!F60="","",'Identification Form'!F60)</f>
        <v>Number of dry suits / rescue sets / AEDs / radios procured</v>
      </c>
      <c r="E27" s="62"/>
      <c r="F27" s="1" t="str">
        <f>IF('Identification Form'!H60="","",'Identification Form'!H60)</f>
        <v>4 / 1 / 1 / 2</v>
      </c>
      <c r="G27" s="9"/>
      <c r="H27" s="1" t="str">
        <f t="shared" si="0"/>
        <v>not reported / nevykázáno</v>
      </c>
      <c r="I27" s="56"/>
      <c r="J27" s="55"/>
      <c r="K27" s="53"/>
      <c r="L27" s="55"/>
    </row>
    <row r="28" spans="1:12" ht="25.5" customHeight="1" x14ac:dyDescent="0.25">
      <c r="A28" s="1">
        <v>3</v>
      </c>
      <c r="B28" s="158" t="str">
        <f>IF('Identification Form'!B61="","",'Identification Form'!B61)</f>
        <v>Adaptation of existing space for secure equipment storage and maintenance; servicing of club compressor, cylinders and regulators (Club-funded)</v>
      </c>
      <c r="C28" s="62"/>
      <c r="D28" s="158" t="str">
        <f>IF('Identification Form'!F61="","",'Identification Form'!F61)</f>
        <v>Storage adapted and equipment serviced (yes/no)</v>
      </c>
      <c r="E28" s="62"/>
      <c r="F28" s="1">
        <f>IF('Identification Form'!H61="","",'Identification Form'!H61)</f>
        <v>1</v>
      </c>
      <c r="G28" s="9"/>
      <c r="H28" s="1" t="str">
        <f t="shared" si="0"/>
        <v>not reported / nevykázáno</v>
      </c>
      <c r="I28" s="56"/>
      <c r="J28" s="55"/>
      <c r="K28" s="53"/>
      <c r="L28" s="55"/>
    </row>
    <row r="29" spans="1:12" ht="25.5" customHeight="1" x14ac:dyDescent="0.25">
      <c r="A29" s="1">
        <v>4</v>
      </c>
      <c r="B29" s="158" t="str">
        <f>IF('Identification Form'!B62="","",'Identification Form'!B62)</f>
        <v>SSI Diver Stress &amp; Rescue course for the same 15 participants</v>
      </c>
      <c r="C29" s="62"/>
      <c r="D29" s="158" t="str">
        <f>IF('Identification Form'!F62="","",'Identification Form'!F62)</f>
        <v>Number of participants certified</v>
      </c>
      <c r="E29" s="62"/>
      <c r="F29" s="1">
        <f>IF('Identification Form'!H62="","",'Identification Form'!H62)</f>
        <v>15</v>
      </c>
      <c r="G29" s="9"/>
      <c r="H29" s="1" t="str">
        <f t="shared" si="0"/>
        <v>not reported / nevykázáno</v>
      </c>
      <c r="I29" s="56"/>
      <c r="J29" s="55"/>
      <c r="K29" s="53"/>
      <c r="L29" s="55"/>
    </row>
    <row r="30" spans="1:12" ht="25.5" customHeight="1" x14ac:dyDescent="0.25">
      <c r="A30" s="1">
        <v>5</v>
      </c>
      <c r="B30" s="158" t="str">
        <f>IF('Identification Form'!B63="","",'Identification Form'!B63)</f>
        <v>SSI React Right course (first aid, CPR, AED, oxygen) for 15 club divers</v>
      </c>
      <c r="C30" s="62"/>
      <c r="D30" s="158" t="str">
        <f>IF('Identification Form'!F63="","",'Identification Form'!F63)</f>
        <v>Number of participants certified</v>
      </c>
      <c r="E30" s="62"/>
      <c r="F30" s="1">
        <f>IF('Identification Form'!H63="","",'Identification Form'!H63)</f>
        <v>15</v>
      </c>
      <c r="G30" s="9"/>
      <c r="H30" s="1" t="str">
        <f t="shared" si="0"/>
        <v>not reported / nevykázáno</v>
      </c>
      <c r="I30" s="56"/>
      <c r="J30" s="55"/>
      <c r="K30" s="53"/>
      <c r="L30" s="55"/>
    </row>
    <row r="31" spans="1:12" ht="25.5" customHeight="1" x14ac:dyDescent="0.25">
      <c r="A31" s="1">
        <v>6</v>
      </c>
      <c r="B31" s="158" t="str">
        <f>IF('Identification Form'!B64="","",'Identification Form'!B64)</f>
        <v>Volunteer duty roster at Jablaničko Lake and Boračko Lake (boat and divers)</v>
      </c>
      <c r="C31" s="62"/>
      <c r="D31" s="158" t="str">
        <f>IF('Identification Form'!F64="","",'Identification Form'!F64)</f>
        <v>Number of duty days covered</v>
      </c>
      <c r="E31" s="62"/>
      <c r="F31" s="1">
        <f>IF('Identification Form'!H64="","",'Identification Form'!H64)</f>
        <v>30</v>
      </c>
      <c r="G31" s="9"/>
      <c r="H31" s="1" t="str">
        <f t="shared" si="0"/>
        <v>not reported / nevykázáno</v>
      </c>
      <c r="I31" s="56"/>
      <c r="J31" s="55"/>
      <c r="K31" s="53"/>
      <c r="L31" s="55"/>
    </row>
    <row r="32" spans="1:12" ht="25.5" customHeight="1" x14ac:dyDescent="0.25">
      <c r="A32" s="1">
        <v>7</v>
      </c>
      <c r="B32" s="158" t="str">
        <f>IF('Identification Form'!B65="","",'Identification Form'!B65)</f>
        <v>Water-safety awareness sessions for local schools and communities</v>
      </c>
      <c r="C32" s="62"/>
      <c r="D32" s="158" t="str">
        <f>IF('Identification Form'!F65="","",'Identification Form'!F65)</f>
        <v>Number of people reached</v>
      </c>
      <c r="E32" s="62"/>
      <c r="F32" s="1">
        <f>IF('Identification Form'!H65="","",'Identification Form'!H65)</f>
        <v>500</v>
      </c>
      <c r="G32" s="9"/>
      <c r="H32" s="1" t="str">
        <f t="shared" si="0"/>
        <v>not reported / nevykázáno</v>
      </c>
      <c r="I32" s="56"/>
      <c r="J32" s="55"/>
      <c r="K32" s="53"/>
      <c r="L32" s="55"/>
    </row>
    <row r="33" spans="1:12" ht="25.5" customHeight="1" x14ac:dyDescent="0.25">
      <c r="A33" s="1">
        <v>8</v>
      </c>
      <c r="B33" s="158" t="str">
        <f>IF('Identification Form'!B66="","",'Identification Form'!B66)</f>
        <v>Public handover and launch event with the Embassy</v>
      </c>
      <c r="C33" s="62"/>
      <c r="D33" s="158" t="str">
        <f>IF('Identification Form'!F66="","",'Identification Form'!F66)</f>
        <v>Event held (yes/no)</v>
      </c>
      <c r="E33" s="62"/>
      <c r="F33" s="1">
        <f>IF('Identification Form'!H66="","",'Identification Form'!H66)</f>
        <v>1</v>
      </c>
      <c r="G33" s="9"/>
      <c r="H33" s="1" t="str">
        <f t="shared" si="0"/>
        <v>not reported / nevykázáno</v>
      </c>
      <c r="I33" s="56"/>
      <c r="J33" s="55"/>
      <c r="K33" s="53"/>
      <c r="L33" s="55"/>
    </row>
    <row r="34" spans="1:12" ht="25.5" customHeight="1" x14ac:dyDescent="0.25">
      <c r="A34" s="1">
        <v>9</v>
      </c>
      <c r="B34" s="158" t="str">
        <f>IF('Identification Form'!B67="","",'Identification Form'!B67)</f>
        <v>Agreement with the local Civil Protection service on availability of the unit's boat, divers and equipment in emergencies</v>
      </c>
      <c r="C34" s="62"/>
      <c r="D34" s="158" t="str">
        <f>IF('Identification Form'!F67="","",'Identification Form'!F67)</f>
        <v>Written agreement or protocol signed (yes/no)</v>
      </c>
      <c r="E34" s="62"/>
      <c r="F34" s="1">
        <f>IF('Identification Form'!H67="","",'Identification Form'!H67)</f>
        <v>1</v>
      </c>
      <c r="G34" s="9"/>
      <c r="H34" s="1" t="str">
        <f t="shared" si="0"/>
        <v>not reported / nevykázáno</v>
      </c>
      <c r="I34" s="56"/>
      <c r="J34" s="55"/>
      <c r="K34" s="53"/>
      <c r="L34" s="55"/>
    </row>
    <row r="35" spans="1:12" ht="25.5" customHeight="1" x14ac:dyDescent="0.25">
      <c r="A35" s="1">
        <v>10</v>
      </c>
      <c r="B35" s="158" t="str">
        <f>IF('Identification Form'!B68="","",'Identification Form'!B68)</f>
        <v/>
      </c>
      <c r="C35" s="62"/>
      <c r="D35" s="158" t="str">
        <f>IF('Identification Form'!F68="","",'Identification Form'!F68)</f>
        <v/>
      </c>
      <c r="E35" s="62"/>
      <c r="F35" s="1" t="str">
        <f>IF('Identification Form'!H68="","",'Identification Form'!H68)</f>
        <v/>
      </c>
      <c r="G35" s="9"/>
      <c r="H35" s="1" t="str">
        <f t="shared" si="0"/>
        <v/>
      </c>
      <c r="I35" s="56"/>
      <c r="J35" s="55"/>
      <c r="K35" s="53"/>
      <c r="L35" s="55"/>
    </row>
    <row r="36" spans="1:12" ht="31.5" customHeight="1" x14ac:dyDescent="0.25">
      <c r="A36" s="116" t="s">
        <v>330</v>
      </c>
      <c r="B36" s="61"/>
      <c r="C36" s="61"/>
      <c r="D36" s="61"/>
      <c r="E36" s="61"/>
      <c r="F36" s="61"/>
      <c r="G36" s="61"/>
      <c r="H36" s="61"/>
      <c r="I36" s="61"/>
      <c r="J36" s="61"/>
      <c r="K36" s="61"/>
      <c r="L36" s="62"/>
    </row>
    <row r="37" spans="1:12" ht="174" customHeight="1" x14ac:dyDescent="0.25">
      <c r="A37" s="63" t="s">
        <v>331</v>
      </c>
      <c r="B37" s="61"/>
      <c r="C37" s="61"/>
      <c r="D37" s="61"/>
      <c r="E37" s="61"/>
      <c r="F37" s="61"/>
      <c r="G37" s="61"/>
      <c r="H37" s="61"/>
      <c r="I37" s="61"/>
      <c r="J37" s="61"/>
      <c r="K37" s="61"/>
      <c r="L37" s="62"/>
    </row>
    <row r="38" spans="1:12" ht="63.75" customHeight="1" x14ac:dyDescent="0.25">
      <c r="A38" s="40" t="s">
        <v>77</v>
      </c>
      <c r="B38" s="159" t="s">
        <v>332</v>
      </c>
      <c r="C38" s="61"/>
      <c r="D38" s="61"/>
      <c r="E38" s="62"/>
      <c r="F38" s="40" t="s">
        <v>333</v>
      </c>
      <c r="G38" s="162" t="s">
        <v>334</v>
      </c>
      <c r="H38" s="62"/>
      <c r="I38" s="159" t="s">
        <v>335</v>
      </c>
      <c r="J38" s="61"/>
      <c r="K38" s="61"/>
      <c r="L38" s="62"/>
    </row>
    <row r="39" spans="1:12" ht="21.75" customHeight="1" x14ac:dyDescent="0.25">
      <c r="A39" s="1">
        <v>1</v>
      </c>
      <c r="B39" s="56"/>
      <c r="C39" s="54"/>
      <c r="D39" s="54"/>
      <c r="E39" s="55"/>
      <c r="F39" s="9"/>
      <c r="G39" s="127"/>
      <c r="H39" s="55"/>
      <c r="I39" s="53"/>
      <c r="J39" s="54"/>
      <c r="K39" s="54"/>
      <c r="L39" s="55"/>
    </row>
    <row r="40" spans="1:12" ht="21.75" customHeight="1" x14ac:dyDescent="0.25">
      <c r="A40" s="1">
        <v>2</v>
      </c>
      <c r="B40" s="56"/>
      <c r="C40" s="54"/>
      <c r="D40" s="54"/>
      <c r="E40" s="55"/>
      <c r="F40" s="9"/>
      <c r="G40" s="127"/>
      <c r="H40" s="55"/>
      <c r="I40" s="53"/>
      <c r="J40" s="54"/>
      <c r="K40" s="54"/>
      <c r="L40" s="55"/>
    </row>
    <row r="41" spans="1:12" ht="21.75" customHeight="1" x14ac:dyDescent="0.25">
      <c r="A41" s="1">
        <v>3</v>
      </c>
      <c r="B41" s="56"/>
      <c r="C41" s="54"/>
      <c r="D41" s="54"/>
      <c r="E41" s="55"/>
      <c r="F41" s="9"/>
      <c r="G41" s="127"/>
      <c r="H41" s="55"/>
      <c r="I41" s="53"/>
      <c r="J41" s="54"/>
      <c r="K41" s="54"/>
      <c r="L41" s="55"/>
    </row>
    <row r="42" spans="1:12" ht="21.75" customHeight="1" x14ac:dyDescent="0.25">
      <c r="A42" s="1">
        <v>4</v>
      </c>
      <c r="B42" s="56"/>
      <c r="C42" s="54"/>
      <c r="D42" s="54"/>
      <c r="E42" s="55"/>
      <c r="F42" s="9"/>
      <c r="G42" s="127"/>
      <c r="H42" s="55"/>
      <c r="I42" s="53"/>
      <c r="J42" s="54"/>
      <c r="K42" s="54"/>
      <c r="L42" s="55"/>
    </row>
    <row r="43" spans="1:12" ht="21.75" customHeight="1" x14ac:dyDescent="0.25">
      <c r="A43" s="1">
        <v>5</v>
      </c>
      <c r="B43" s="56"/>
      <c r="C43" s="54"/>
      <c r="D43" s="54"/>
      <c r="E43" s="55"/>
      <c r="F43" s="9"/>
      <c r="G43" s="127"/>
      <c r="H43" s="55"/>
      <c r="I43" s="53"/>
      <c r="J43" s="54"/>
      <c r="K43" s="54"/>
      <c r="L43" s="55"/>
    </row>
    <row r="44" spans="1:12" ht="21.75" customHeight="1" x14ac:dyDescent="0.25">
      <c r="A44" s="1">
        <v>6</v>
      </c>
      <c r="B44" s="56"/>
      <c r="C44" s="54"/>
      <c r="D44" s="54"/>
      <c r="E44" s="55"/>
      <c r="F44" s="9"/>
      <c r="G44" s="127"/>
      <c r="H44" s="55"/>
      <c r="I44" s="53"/>
      <c r="J44" s="54"/>
      <c r="K44" s="54"/>
      <c r="L44" s="55"/>
    </row>
    <row r="45" spans="1:12" ht="21.75" customHeight="1" x14ac:dyDescent="0.25">
      <c r="A45" s="1">
        <v>7</v>
      </c>
      <c r="B45" s="56"/>
      <c r="C45" s="54"/>
      <c r="D45" s="54"/>
      <c r="E45" s="55"/>
      <c r="F45" s="9"/>
      <c r="G45" s="127"/>
      <c r="H45" s="55"/>
      <c r="I45" s="53"/>
      <c r="J45" s="54"/>
      <c r="K45" s="54"/>
      <c r="L45" s="55"/>
    </row>
    <row r="46" spans="1:12" ht="21.75" customHeight="1" x14ac:dyDescent="0.25">
      <c r="A46" s="1">
        <v>8</v>
      </c>
      <c r="B46" s="56"/>
      <c r="C46" s="54"/>
      <c r="D46" s="54"/>
      <c r="E46" s="55"/>
      <c r="F46" s="9"/>
      <c r="G46" s="127"/>
      <c r="H46" s="55"/>
      <c r="I46" s="53"/>
      <c r="J46" s="54"/>
      <c r="K46" s="54"/>
      <c r="L46" s="55"/>
    </row>
    <row r="47" spans="1:12" ht="34.5" customHeight="1" x14ac:dyDescent="0.25">
      <c r="A47" s="116" t="s">
        <v>336</v>
      </c>
      <c r="B47" s="61"/>
      <c r="C47" s="61"/>
      <c r="D47" s="61"/>
      <c r="E47" s="61"/>
      <c r="F47" s="61"/>
      <c r="G47" s="61"/>
      <c r="H47" s="61"/>
      <c r="I47" s="61"/>
      <c r="J47" s="61"/>
      <c r="K47" s="61"/>
      <c r="L47" s="62"/>
    </row>
    <row r="48" spans="1:12" ht="31.5" customHeight="1" x14ac:dyDescent="0.25">
      <c r="A48" s="63" t="s">
        <v>337</v>
      </c>
      <c r="B48" s="61"/>
      <c r="C48" s="61"/>
      <c r="D48" s="61"/>
      <c r="E48" s="61"/>
      <c r="F48" s="61"/>
      <c r="G48" s="61"/>
      <c r="H48" s="61"/>
      <c r="I48" s="61"/>
      <c r="J48" s="61"/>
      <c r="K48" s="61"/>
      <c r="L48" s="62"/>
    </row>
    <row r="49" spans="1:12" ht="79.5" customHeight="1" x14ac:dyDescent="0.25">
      <c r="A49" s="56"/>
      <c r="B49" s="54"/>
      <c r="C49" s="54"/>
      <c r="D49" s="54"/>
      <c r="E49" s="54"/>
      <c r="F49" s="54"/>
      <c r="G49" s="54"/>
      <c r="H49" s="54"/>
      <c r="I49" s="54"/>
      <c r="J49" s="54"/>
      <c r="K49" s="55"/>
      <c r="L49" s="39" t="str">
        <f>LEN(A49)&amp;" / 800"</f>
        <v>0 / 800</v>
      </c>
    </row>
    <row r="50" spans="1:12" ht="34.5" customHeight="1" x14ac:dyDescent="0.25">
      <c r="A50" s="116" t="s">
        <v>338</v>
      </c>
      <c r="B50" s="61"/>
      <c r="C50" s="61"/>
      <c r="D50" s="61"/>
      <c r="E50" s="61"/>
      <c r="F50" s="61"/>
      <c r="G50" s="61"/>
      <c r="H50" s="61"/>
      <c r="I50" s="61"/>
      <c r="J50" s="61"/>
      <c r="K50" s="61"/>
      <c r="L50" s="62"/>
    </row>
    <row r="51" spans="1:12" ht="73.5" customHeight="1" x14ac:dyDescent="0.25">
      <c r="A51" s="68" t="s">
        <v>339</v>
      </c>
      <c r="B51" s="61"/>
      <c r="C51" s="61"/>
      <c r="D51" s="61"/>
      <c r="E51" s="61"/>
      <c r="F51" s="62"/>
      <c r="G51" s="56"/>
      <c r="H51" s="54"/>
      <c r="I51" s="54"/>
      <c r="J51" s="54"/>
      <c r="K51" s="54"/>
      <c r="L51" s="55"/>
    </row>
    <row r="52" spans="1:12" ht="31.5" customHeight="1" x14ac:dyDescent="0.25">
      <c r="A52" s="149" t="s">
        <v>153</v>
      </c>
      <c r="B52" s="61"/>
      <c r="C52" s="61"/>
      <c r="D52" s="61"/>
      <c r="E52" s="62"/>
      <c r="F52" s="114" t="s">
        <v>318</v>
      </c>
      <c r="G52" s="62"/>
      <c r="H52" s="114" t="s">
        <v>319</v>
      </c>
      <c r="I52" s="62"/>
      <c r="J52" s="149" t="s">
        <v>340</v>
      </c>
      <c r="K52" s="61"/>
      <c r="L52" s="62"/>
    </row>
    <row r="53" spans="1:12" ht="30.75" customHeight="1" x14ac:dyDescent="0.25">
      <c r="A53" s="158" t="str">
        <f>IF('Identification Form'!A85="","",'Identification Form'!A85)</f>
        <v>Local community where the project takes place
Místní komunita v místě realizace projektu</v>
      </c>
      <c r="B53" s="61"/>
      <c r="C53" s="61"/>
      <c r="D53" s="61"/>
      <c r="E53" s="62"/>
      <c r="F53" s="165">
        <f>IF('Identification Form'!G85="","",'Identification Form'!G85)</f>
        <v>5000</v>
      </c>
      <c r="G53" s="62"/>
      <c r="H53" s="102"/>
      <c r="I53" s="55"/>
      <c r="J53" s="53"/>
      <c r="K53" s="54"/>
      <c r="L53" s="55"/>
    </row>
    <row r="54" spans="1:12" ht="28.5" customHeight="1" x14ac:dyDescent="0.25">
      <c r="A54" s="158" t="str">
        <f>IF('Identification Form'!A86="","",'Identification Form'!A86)</f>
        <v>Staff and users of the partner institution
Zaměstnanci a uživatelé partnerské instituce</v>
      </c>
      <c r="B54" s="61"/>
      <c r="C54" s="61"/>
      <c r="D54" s="61"/>
      <c r="E54" s="62"/>
      <c r="F54" s="165" t="str">
        <f>IF('Identification Form'!G86="","",'Identification Form'!G86)</f>
        <v/>
      </c>
      <c r="G54" s="62"/>
      <c r="H54" s="102"/>
      <c r="I54" s="55"/>
      <c r="J54" s="53"/>
      <c r="K54" s="54"/>
      <c r="L54" s="55"/>
    </row>
    <row r="55" spans="1:12" ht="29.25" customHeight="1" x14ac:dyDescent="0.25">
      <c r="A55" s="158" t="str">
        <f>IF('Identification Form'!A87="","",'Identification Form'!A87)</f>
        <v>Local or regional media
Místní nebo regionální média</v>
      </c>
      <c r="B55" s="61"/>
      <c r="C55" s="61"/>
      <c r="D55" s="61"/>
      <c r="E55" s="62"/>
      <c r="F55" s="165">
        <f>IF('Identification Form'!G87="","",'Identification Form'!G87)</f>
        <v>3000</v>
      </c>
      <c r="G55" s="62"/>
      <c r="H55" s="102"/>
      <c r="I55" s="55"/>
      <c r="J55" s="53"/>
      <c r="K55" s="54"/>
      <c r="L55" s="55"/>
    </row>
    <row r="56" spans="1:12" ht="31.5" customHeight="1" x14ac:dyDescent="0.25">
      <c r="A56" s="158" t="str">
        <f>IF('Identification Form'!A88="","",'Identification Form'!A88)</f>
        <v>Participants of a public event (handover, opening)
Účastníci veřejné akce (předání, slavnostní otevření)</v>
      </c>
      <c r="B56" s="61"/>
      <c r="C56" s="61"/>
      <c r="D56" s="61"/>
      <c r="E56" s="62"/>
      <c r="F56" s="165">
        <f>IF('Identification Form'!G88="","",'Identification Form'!G88)</f>
        <v>80</v>
      </c>
      <c r="G56" s="62"/>
      <c r="H56" s="102"/>
      <c r="I56" s="55"/>
      <c r="J56" s="53"/>
      <c r="K56" s="54"/>
      <c r="L56" s="55"/>
    </row>
    <row r="57" spans="1:12" ht="75" customHeight="1" x14ac:dyDescent="0.25">
      <c r="A57" s="68" t="s">
        <v>341</v>
      </c>
      <c r="B57" s="61"/>
      <c r="C57" s="61"/>
      <c r="D57" s="61"/>
      <c r="E57" s="61"/>
      <c r="F57" s="61"/>
      <c r="G57" s="62"/>
      <c r="H57" s="5"/>
      <c r="I57" s="68" t="s">
        <v>342</v>
      </c>
      <c r="J57" s="62"/>
      <c r="K57" s="169">
        <f>IF('Identification Form'!K90="","",'Identification Form'!K90)</f>
        <v>20</v>
      </c>
      <c r="L57" s="62"/>
    </row>
    <row r="58" spans="1:12" ht="31.5" customHeight="1" x14ac:dyDescent="0.25">
      <c r="A58" s="68" t="s">
        <v>343</v>
      </c>
      <c r="B58" s="61"/>
      <c r="C58" s="61"/>
      <c r="D58" s="61"/>
      <c r="E58" s="61"/>
      <c r="F58" s="61"/>
      <c r="G58" s="61"/>
      <c r="H58" s="62"/>
      <c r="I58" s="9"/>
      <c r="J58" s="2" t="s">
        <v>295</v>
      </c>
      <c r="K58" s="127"/>
      <c r="L58" s="55"/>
    </row>
    <row r="59" spans="1:12" ht="46.5" customHeight="1" x14ac:dyDescent="0.25">
      <c r="A59" s="68" t="s">
        <v>344</v>
      </c>
      <c r="B59" s="61"/>
      <c r="C59" s="61"/>
      <c r="D59" s="61"/>
      <c r="E59" s="61"/>
      <c r="F59" s="62"/>
      <c r="G59" s="53"/>
      <c r="H59" s="54"/>
      <c r="I59" s="54"/>
      <c r="J59" s="54"/>
      <c r="K59" s="54"/>
      <c r="L59" s="55"/>
    </row>
    <row r="60" spans="1:12" ht="41.25" customHeight="1" x14ac:dyDescent="0.25">
      <c r="A60" s="116" t="s">
        <v>345</v>
      </c>
      <c r="B60" s="61"/>
      <c r="C60" s="61"/>
      <c r="D60" s="61"/>
      <c r="E60" s="61"/>
      <c r="F60" s="61"/>
      <c r="G60" s="61"/>
      <c r="H60" s="61"/>
      <c r="I60" s="61"/>
      <c r="J60" s="61"/>
      <c r="K60" s="61"/>
      <c r="L60" s="62"/>
    </row>
    <row r="61" spans="1:12" ht="31.5" customHeight="1" x14ac:dyDescent="0.25">
      <c r="A61" s="159" t="s">
        <v>346</v>
      </c>
      <c r="B61" s="61"/>
      <c r="C61" s="61"/>
      <c r="D61" s="61"/>
      <c r="E61" s="62"/>
      <c r="F61" s="162" t="s">
        <v>347</v>
      </c>
      <c r="G61" s="62"/>
      <c r="H61" s="162" t="s">
        <v>348</v>
      </c>
      <c r="I61" s="62"/>
      <c r="J61" s="162" t="s">
        <v>275</v>
      </c>
      <c r="K61" s="61"/>
      <c r="L61" s="62"/>
    </row>
    <row r="62" spans="1:12" ht="31.5" customHeight="1" x14ac:dyDescent="0.25">
      <c r="A62" s="158" t="s">
        <v>349</v>
      </c>
      <c r="B62" s="61"/>
      <c r="C62" s="61"/>
      <c r="D62" s="61"/>
      <c r="E62" s="62"/>
      <c r="F62" s="164">
        <f>'Identification Form'!I112</f>
        <v>367380.60130457598</v>
      </c>
      <c r="G62" s="62"/>
      <c r="H62" s="164" t="str">
        <f>IF('Financial Report'!$I$65=0,"",'Financial Report'!I20)</f>
        <v/>
      </c>
      <c r="I62" s="62"/>
      <c r="J62" s="164" t="str">
        <f>IF(OR('Financial Report'!$I$65=0,H62=""),"",H62-F62)</f>
        <v/>
      </c>
      <c r="K62" s="61"/>
      <c r="L62" s="62"/>
    </row>
    <row r="63" spans="1:12" ht="31.5" customHeight="1" x14ac:dyDescent="0.25">
      <c r="A63" s="158" t="s">
        <v>197</v>
      </c>
      <c r="B63" s="61"/>
      <c r="C63" s="61"/>
      <c r="D63" s="61"/>
      <c r="E63" s="62"/>
      <c r="F63" s="164">
        <f>'Identification Form'!I120</f>
        <v>0</v>
      </c>
      <c r="G63" s="62"/>
      <c r="H63" s="164" t="str">
        <f>IF('Financial Report'!$I$65=0,"",'Financial Report'!I28)</f>
        <v/>
      </c>
      <c r="I63" s="62"/>
      <c r="J63" s="164" t="str">
        <f>IF(OR('Financial Report'!$I$65=0,H63=""),"",H63-F63)</f>
        <v/>
      </c>
      <c r="K63" s="61"/>
      <c r="L63" s="62"/>
    </row>
    <row r="64" spans="1:12" ht="31.5" customHeight="1" x14ac:dyDescent="0.25">
      <c r="A64" s="158" t="s">
        <v>350</v>
      </c>
      <c r="B64" s="61"/>
      <c r="C64" s="61"/>
      <c r="D64" s="61"/>
      <c r="E64" s="62"/>
      <c r="F64" s="164">
        <f>'Identification Form'!I128</f>
        <v>12495.938819883537</v>
      </c>
      <c r="G64" s="62"/>
      <c r="H64" s="164" t="str">
        <f>IF('Financial Report'!$I$65=0,"",'Financial Report'!I36)</f>
        <v/>
      </c>
      <c r="I64" s="62"/>
      <c r="J64" s="164" t="str">
        <f>IF(OR('Financial Report'!$I$65=0,H64=""),"",H64-F64)</f>
        <v/>
      </c>
      <c r="K64" s="61"/>
      <c r="L64" s="62"/>
    </row>
    <row r="65" spans="1:12" ht="31.5" customHeight="1" x14ac:dyDescent="0.25">
      <c r="A65" s="158" t="s">
        <v>351</v>
      </c>
      <c r="B65" s="61"/>
      <c r="C65" s="61"/>
      <c r="D65" s="61"/>
      <c r="E65" s="62"/>
      <c r="F65" s="164">
        <f>'Identification Form'!I134</f>
        <v>68727.663509359452</v>
      </c>
      <c r="G65" s="62"/>
      <c r="H65" s="164" t="str">
        <f>IF('Financial Report'!$I$65=0,"",'Financial Report'!I42)</f>
        <v/>
      </c>
      <c r="I65" s="62"/>
      <c r="J65" s="164" t="str">
        <f>IF(OR('Financial Report'!$I$65=0,H65=""),"",H65-F65)</f>
        <v/>
      </c>
      <c r="K65" s="61"/>
      <c r="L65" s="62"/>
    </row>
    <row r="66" spans="1:12" ht="31.5" customHeight="1" x14ac:dyDescent="0.25">
      <c r="A66" s="168" t="s">
        <v>211</v>
      </c>
      <c r="B66" s="61"/>
      <c r="C66" s="61"/>
      <c r="D66" s="61"/>
      <c r="E66" s="62"/>
      <c r="F66" s="166">
        <f>'Identification Form'!I135</f>
        <v>448604.20363381901</v>
      </c>
      <c r="G66" s="62"/>
      <c r="H66" s="166" t="str">
        <f>IF('Financial Report'!$I$65=0,"",'Financial Report'!I43)</f>
        <v/>
      </c>
      <c r="I66" s="62"/>
      <c r="J66" s="166" t="str">
        <f>IF(OR('Financial Report'!$I$65=0,H66=""),"",H66-F66)</f>
        <v/>
      </c>
      <c r="K66" s="61"/>
      <c r="L66" s="62"/>
    </row>
    <row r="67" spans="1:12" ht="31.5" customHeight="1" x14ac:dyDescent="0.25">
      <c r="A67" s="158" t="s">
        <v>352</v>
      </c>
      <c r="B67" s="61"/>
      <c r="C67" s="61"/>
      <c r="D67" s="61"/>
      <c r="E67" s="62"/>
      <c r="F67" s="164">
        <f>'Identification Form'!I143</f>
        <v>7497.5632919301224</v>
      </c>
      <c r="G67" s="62"/>
      <c r="H67" s="164" t="str">
        <f>IF('Financial Report'!$I$65=0,"",'Financial Report'!I51)</f>
        <v/>
      </c>
      <c r="I67" s="62"/>
      <c r="J67" s="164" t="str">
        <f>IF(OR('Financial Report'!$I$65=0,H67=""),"",H67-F67)</f>
        <v/>
      </c>
      <c r="K67" s="61"/>
      <c r="L67" s="62"/>
    </row>
    <row r="68" spans="1:12" ht="31.5" customHeight="1" x14ac:dyDescent="0.25">
      <c r="A68" s="158" t="s">
        <v>353</v>
      </c>
      <c r="B68" s="61"/>
      <c r="C68" s="61"/>
      <c r="D68" s="61"/>
      <c r="E68" s="62"/>
      <c r="F68" s="164">
        <f>'Identification Form'!I149</f>
        <v>1499.5126583860244</v>
      </c>
      <c r="G68" s="62"/>
      <c r="H68" s="164" t="str">
        <f>IF('Financial Report'!$I$65=0,"",'Financial Report'!I57)</f>
        <v/>
      </c>
      <c r="I68" s="62"/>
      <c r="J68" s="164" t="str">
        <f>IF(OR('Financial Report'!$I$65=0,H68=""),"",H68-F68)</f>
        <v/>
      </c>
      <c r="K68" s="61"/>
      <c r="L68" s="62"/>
    </row>
    <row r="69" spans="1:12" ht="31.5" customHeight="1" x14ac:dyDescent="0.25">
      <c r="A69" s="158" t="s">
        <v>354</v>
      </c>
      <c r="B69" s="61"/>
      <c r="C69" s="61"/>
      <c r="D69" s="61"/>
      <c r="E69" s="62"/>
      <c r="F69" s="164">
        <f>'Identification Form'!I155</f>
        <v>4373.5785869592382</v>
      </c>
      <c r="G69" s="62"/>
      <c r="H69" s="164" t="str">
        <f>IF('Financial Report'!$I$65=0,"",'Financial Report'!I63)</f>
        <v/>
      </c>
      <c r="I69" s="62"/>
      <c r="J69" s="164" t="str">
        <f>IF(OR('Financial Report'!$I$65=0,H69=""),"",H69-F69)</f>
        <v/>
      </c>
      <c r="K69" s="61"/>
      <c r="L69" s="62"/>
    </row>
    <row r="70" spans="1:12" ht="31.5" customHeight="1" x14ac:dyDescent="0.25">
      <c r="A70" s="168" t="s">
        <v>222</v>
      </c>
      <c r="B70" s="61"/>
      <c r="C70" s="61"/>
      <c r="D70" s="61"/>
      <c r="E70" s="62"/>
      <c r="F70" s="166">
        <f>'Identification Form'!I156</f>
        <v>13370.654537275384</v>
      </c>
      <c r="G70" s="62"/>
      <c r="H70" s="166" t="str">
        <f>IF('Financial Report'!$I$65=0,"",'Financial Report'!I64)</f>
        <v/>
      </c>
      <c r="I70" s="62"/>
      <c r="J70" s="166" t="str">
        <f>IF(OR('Financial Report'!$I$65=0,H70=""),"",H70-F70)</f>
        <v/>
      </c>
      <c r="K70" s="61"/>
      <c r="L70" s="62"/>
    </row>
    <row r="71" spans="1:12" ht="31.5" customHeight="1" x14ac:dyDescent="0.25">
      <c r="A71" s="119" t="s">
        <v>355</v>
      </c>
      <c r="B71" s="61"/>
      <c r="C71" s="61"/>
      <c r="D71" s="61"/>
      <c r="E71" s="62"/>
      <c r="F71" s="167">
        <f>'Identification Form'!I157</f>
        <v>461974.85817109438</v>
      </c>
      <c r="G71" s="62"/>
      <c r="H71" s="167" t="str">
        <f>IF('Financial Report'!$I$65=0,"",'Financial Report'!I65)</f>
        <v/>
      </c>
      <c r="I71" s="62"/>
      <c r="J71" s="167" t="str">
        <f>IF(OR('Financial Report'!$I$65=0,H71=""),"",H71-F71)</f>
        <v/>
      </c>
      <c r="K71" s="61"/>
      <c r="L71" s="62"/>
    </row>
    <row r="72" spans="1:12" ht="31.5" customHeight="1" x14ac:dyDescent="0.25">
      <c r="A72" s="68" t="s">
        <v>283</v>
      </c>
      <c r="B72" s="61"/>
      <c r="C72" s="61"/>
      <c r="D72" s="61"/>
      <c r="E72" s="61"/>
      <c r="F72" s="61"/>
      <c r="G72" s="62"/>
      <c r="H72" s="157" t="str">
        <f>IF('Financial Report'!G69="","",'Financial Report'!G69)</f>
        <v/>
      </c>
      <c r="I72" s="62"/>
      <c r="J72" s="93" t="str">
        <f>IF('Financial Report'!I69="","",'Financial Report'!I69)</f>
        <v/>
      </c>
      <c r="K72" s="61"/>
      <c r="L72" s="62"/>
    </row>
    <row r="73" spans="1:12" ht="31.5" customHeight="1" x14ac:dyDescent="0.25">
      <c r="A73" s="116" t="s">
        <v>356</v>
      </c>
      <c r="B73" s="61"/>
      <c r="C73" s="61"/>
      <c r="D73" s="61"/>
      <c r="E73" s="61"/>
      <c r="F73" s="61"/>
      <c r="G73" s="61"/>
      <c r="H73" s="61"/>
      <c r="I73" s="61"/>
      <c r="J73" s="61"/>
      <c r="K73" s="61"/>
      <c r="L73" s="62"/>
    </row>
    <row r="74" spans="1:12" ht="31.5" customHeight="1" x14ac:dyDescent="0.25">
      <c r="A74" s="63" t="s">
        <v>357</v>
      </c>
      <c r="B74" s="61"/>
      <c r="C74" s="61"/>
      <c r="D74" s="61"/>
      <c r="E74" s="61"/>
      <c r="F74" s="61"/>
      <c r="G74" s="61"/>
      <c r="H74" s="61"/>
      <c r="I74" s="61"/>
      <c r="J74" s="61"/>
      <c r="K74" s="61"/>
      <c r="L74" s="62"/>
    </row>
    <row r="75" spans="1:12" ht="94.5" customHeight="1" x14ac:dyDescent="0.25">
      <c r="A75" s="56"/>
      <c r="B75" s="54"/>
      <c r="C75" s="54"/>
      <c r="D75" s="54"/>
      <c r="E75" s="54"/>
      <c r="F75" s="54"/>
      <c r="G75" s="54"/>
      <c r="H75" s="54"/>
      <c r="I75" s="54"/>
      <c r="J75" s="54"/>
      <c r="K75" s="55"/>
      <c r="L75" s="39" t="str">
        <f>LEN(A75)&amp;" / 1000"</f>
        <v>0 / 1000</v>
      </c>
    </row>
    <row r="76" spans="1:12" ht="31.5" customHeight="1" x14ac:dyDescent="0.25">
      <c r="A76" s="116" t="s">
        <v>358</v>
      </c>
      <c r="B76" s="61"/>
      <c r="C76" s="61"/>
      <c r="D76" s="61"/>
      <c r="E76" s="61"/>
      <c r="F76" s="61"/>
      <c r="G76" s="61"/>
      <c r="H76" s="61"/>
      <c r="I76" s="61"/>
      <c r="J76" s="61"/>
      <c r="K76" s="61"/>
      <c r="L76" s="62"/>
    </row>
    <row r="77" spans="1:12" ht="31.5" customHeight="1" x14ac:dyDescent="0.25">
      <c r="A77" s="68" t="s">
        <v>256</v>
      </c>
      <c r="B77" s="61"/>
      <c r="C77" s="61"/>
      <c r="D77" s="62"/>
      <c r="E77" s="53"/>
      <c r="F77" s="54"/>
      <c r="G77" s="54"/>
      <c r="H77" s="54"/>
      <c r="I77" s="54"/>
      <c r="J77" s="54"/>
      <c r="K77" s="54"/>
      <c r="L77" s="55"/>
    </row>
    <row r="78" spans="1:12" ht="31.5" customHeight="1" x14ac:dyDescent="0.25">
      <c r="A78" s="68" t="s">
        <v>295</v>
      </c>
      <c r="B78" s="61"/>
      <c r="C78" s="61"/>
      <c r="D78" s="62"/>
      <c r="E78" s="53"/>
      <c r="F78" s="54"/>
      <c r="G78" s="54"/>
      <c r="H78" s="54"/>
      <c r="I78" s="54"/>
      <c r="J78" s="54"/>
      <c r="K78" s="54"/>
      <c r="L78" s="55"/>
    </row>
    <row r="79" spans="1:12" ht="31.5" customHeight="1" x14ac:dyDescent="0.25">
      <c r="A79" s="68" t="s">
        <v>260</v>
      </c>
      <c r="B79" s="61"/>
      <c r="C79" s="61"/>
      <c r="D79" s="62"/>
      <c r="E79" s="53"/>
      <c r="F79" s="54"/>
      <c r="G79" s="54"/>
      <c r="H79" s="54"/>
      <c r="I79" s="54"/>
      <c r="J79" s="54"/>
      <c r="K79" s="54"/>
      <c r="L79" s="55"/>
    </row>
    <row r="80" spans="1:12" ht="31.5" customHeight="1" x14ac:dyDescent="0.25">
      <c r="A80" s="68" t="s">
        <v>262</v>
      </c>
      <c r="B80" s="61"/>
      <c r="C80" s="61"/>
      <c r="D80" s="62"/>
      <c r="E80" s="53"/>
      <c r="F80" s="54"/>
      <c r="G80" s="54"/>
      <c r="H80" s="54"/>
      <c r="I80" s="54"/>
      <c r="J80" s="54"/>
      <c r="K80" s="54"/>
      <c r="L80" s="55"/>
    </row>
    <row r="81" spans="1:12" ht="31.5" customHeight="1" x14ac:dyDescent="0.25">
      <c r="A81" s="68" t="s">
        <v>25</v>
      </c>
      <c r="B81" s="61"/>
      <c r="C81" s="61"/>
      <c r="D81" s="62"/>
      <c r="E81" s="53"/>
      <c r="F81" s="54"/>
      <c r="G81" s="54"/>
      <c r="H81" s="54"/>
      <c r="I81" s="54"/>
      <c r="J81" s="54"/>
      <c r="K81" s="54"/>
      <c r="L81" s="55"/>
    </row>
    <row r="82" spans="1:12" ht="39.75" customHeight="1" x14ac:dyDescent="0.25">
      <c r="A82" s="68" t="s">
        <v>263</v>
      </c>
      <c r="B82" s="61"/>
      <c r="C82" s="61"/>
      <c r="D82" s="62"/>
      <c r="E82" s="53"/>
      <c r="F82" s="54"/>
      <c r="G82" s="54"/>
      <c r="H82" s="54"/>
      <c r="I82" s="54"/>
      <c r="J82" s="54"/>
      <c r="K82" s="54"/>
      <c r="L82" s="55"/>
    </row>
  </sheetData>
  <sheetProtection sheet="1" formatCells="0" formatColumns="0" formatRows="0" insertColumns="0" insertRows="0" insertHyperlinks="0"/>
  <mergeCells count="226">
    <mergeCell ref="A1:L1"/>
    <mergeCell ref="E16:L16"/>
    <mergeCell ref="E81:L81"/>
    <mergeCell ref="A68:E68"/>
    <mergeCell ref="G46:H46"/>
    <mergeCell ref="I31:J31"/>
    <mergeCell ref="G40:H40"/>
    <mergeCell ref="I5:L5"/>
    <mergeCell ref="G3:H3"/>
    <mergeCell ref="J62:L62"/>
    <mergeCell ref="A19:L19"/>
    <mergeCell ref="E15:L15"/>
    <mergeCell ref="E80:L80"/>
    <mergeCell ref="G5:H5"/>
    <mergeCell ref="G45:H45"/>
    <mergeCell ref="J64:L64"/>
    <mergeCell ref="F52:G52"/>
    <mergeCell ref="F67:G67"/>
    <mergeCell ref="A48:L48"/>
    <mergeCell ref="A53:E53"/>
    <mergeCell ref="I22:L22"/>
    <mergeCell ref="I29:J29"/>
    <mergeCell ref="A18:D18"/>
    <mergeCell ref="A62:E62"/>
    <mergeCell ref="G4:H4"/>
    <mergeCell ref="I3:L3"/>
    <mergeCell ref="A6:B6"/>
    <mergeCell ref="D21:E21"/>
    <mergeCell ref="F55:G55"/>
    <mergeCell ref="A76:L76"/>
    <mergeCell ref="A54:E54"/>
    <mergeCell ref="H64:I64"/>
    <mergeCell ref="A7:E7"/>
    <mergeCell ref="A8:L8"/>
    <mergeCell ref="A82:D82"/>
    <mergeCell ref="D32:E32"/>
    <mergeCell ref="G6:H6"/>
    <mergeCell ref="I28:J28"/>
    <mergeCell ref="H61:I61"/>
    <mergeCell ref="G51:L51"/>
    <mergeCell ref="B46:E46"/>
    <mergeCell ref="A75:K75"/>
    <mergeCell ref="H70:I70"/>
    <mergeCell ref="A56:E56"/>
    <mergeCell ref="A80:D80"/>
    <mergeCell ref="A4:B4"/>
    <mergeCell ref="B30:C30"/>
    <mergeCell ref="G11:L11"/>
    <mergeCell ref="D30:E30"/>
    <mergeCell ref="I21:L21"/>
    <mergeCell ref="B44:E44"/>
    <mergeCell ref="G41:H41"/>
    <mergeCell ref="K57:L57"/>
    <mergeCell ref="G10:L10"/>
    <mergeCell ref="J68:L68"/>
    <mergeCell ref="I34:J34"/>
    <mergeCell ref="F69:G69"/>
    <mergeCell ref="H67:I67"/>
    <mergeCell ref="G43:H43"/>
    <mergeCell ref="K34:L34"/>
    <mergeCell ref="A64:E64"/>
    <mergeCell ref="F65:G65"/>
    <mergeCell ref="G13:L13"/>
    <mergeCell ref="I27:J27"/>
    <mergeCell ref="A72:G72"/>
    <mergeCell ref="A74:L74"/>
    <mergeCell ref="A12:F12"/>
    <mergeCell ref="A61:E61"/>
    <mergeCell ref="A2:L2"/>
    <mergeCell ref="J54:L54"/>
    <mergeCell ref="F53:G53"/>
    <mergeCell ref="A77:D77"/>
    <mergeCell ref="A47:L47"/>
    <mergeCell ref="D27:E27"/>
    <mergeCell ref="A22:C22"/>
    <mergeCell ref="K31:L31"/>
    <mergeCell ref="A66:E66"/>
    <mergeCell ref="J56:L56"/>
    <mergeCell ref="A20:C20"/>
    <mergeCell ref="A3:B3"/>
    <mergeCell ref="I45:L45"/>
    <mergeCell ref="J71:L71"/>
    <mergeCell ref="A10:F10"/>
    <mergeCell ref="B43:E43"/>
    <mergeCell ref="B34:C34"/>
    <mergeCell ref="B28:C28"/>
    <mergeCell ref="G9:L9"/>
    <mergeCell ref="A5:B5"/>
    <mergeCell ref="D28:E28"/>
    <mergeCell ref="F22:G22"/>
    <mergeCell ref="H66:I66"/>
    <mergeCell ref="B42:E42"/>
    <mergeCell ref="G12:L12"/>
    <mergeCell ref="A59:F59"/>
    <mergeCell ref="J67:L67"/>
    <mergeCell ref="F61:G61"/>
    <mergeCell ref="A73:L73"/>
    <mergeCell ref="A24:L24"/>
    <mergeCell ref="I35:J35"/>
    <mergeCell ref="A11:F11"/>
    <mergeCell ref="A60:L60"/>
    <mergeCell ref="D29:E29"/>
    <mergeCell ref="I43:L43"/>
    <mergeCell ref="J69:L69"/>
    <mergeCell ref="A57:G57"/>
    <mergeCell ref="F64:G64"/>
    <mergeCell ref="A67:E67"/>
    <mergeCell ref="J53:L53"/>
    <mergeCell ref="I42:L42"/>
    <mergeCell ref="K25:L25"/>
    <mergeCell ref="G42:H42"/>
    <mergeCell ref="A49:K49"/>
    <mergeCell ref="J55:L55"/>
    <mergeCell ref="A50:L50"/>
    <mergeCell ref="G39:H39"/>
    <mergeCell ref="F21:G21"/>
    <mergeCell ref="E82:L82"/>
    <mergeCell ref="E17:L17"/>
    <mergeCell ref="G38:H38"/>
    <mergeCell ref="G7:H7"/>
    <mergeCell ref="I32:J32"/>
    <mergeCell ref="C3:F3"/>
    <mergeCell ref="K32:L32"/>
    <mergeCell ref="F20:G20"/>
    <mergeCell ref="A14:L14"/>
    <mergeCell ref="I6:L6"/>
    <mergeCell ref="I46:L46"/>
    <mergeCell ref="C5:F5"/>
    <mergeCell ref="F66:G66"/>
    <mergeCell ref="H69:I69"/>
    <mergeCell ref="A55:E55"/>
    <mergeCell ref="A79:D79"/>
    <mergeCell ref="F62:G62"/>
    <mergeCell ref="B29:C29"/>
    <mergeCell ref="C4:F4"/>
    <mergeCell ref="A9:F9"/>
    <mergeCell ref="I33:J33"/>
    <mergeCell ref="K27:L27"/>
    <mergeCell ref="I7:L7"/>
    <mergeCell ref="I41:L41"/>
    <mergeCell ref="J70:L70"/>
    <mergeCell ref="B27:C27"/>
    <mergeCell ref="E79:L79"/>
    <mergeCell ref="H56:I56"/>
    <mergeCell ref="H68:I68"/>
    <mergeCell ref="A69:E69"/>
    <mergeCell ref="J63:L63"/>
    <mergeCell ref="I57:J57"/>
    <mergeCell ref="B41:E41"/>
    <mergeCell ref="K29:L29"/>
    <mergeCell ref="A78:D78"/>
    <mergeCell ref="G59:L59"/>
    <mergeCell ref="A70:E70"/>
    <mergeCell ref="A17:D17"/>
    <mergeCell ref="I39:L39"/>
    <mergeCell ref="F54:G54"/>
    <mergeCell ref="B25:C25"/>
    <mergeCell ref="I44:L44"/>
    <mergeCell ref="H54:I54"/>
    <mergeCell ref="F63:G63"/>
    <mergeCell ref="J65:L65"/>
    <mergeCell ref="D34:E34"/>
    <mergeCell ref="H63:I63"/>
    <mergeCell ref="I20:L20"/>
    <mergeCell ref="D25:E25"/>
    <mergeCell ref="A63:E63"/>
    <mergeCell ref="A36:L36"/>
    <mergeCell ref="K28:L28"/>
    <mergeCell ref="B32:C32"/>
    <mergeCell ref="G44:H44"/>
    <mergeCell ref="B26:C26"/>
    <mergeCell ref="D26:E26"/>
    <mergeCell ref="B35:C35"/>
    <mergeCell ref="A58:H58"/>
    <mergeCell ref="D35:E35"/>
    <mergeCell ref="I30:J30"/>
    <mergeCell ref="B40:E40"/>
    <mergeCell ref="K30:L30"/>
    <mergeCell ref="A15:D15"/>
    <mergeCell ref="F70:G70"/>
    <mergeCell ref="H52:I52"/>
    <mergeCell ref="K58:L58"/>
    <mergeCell ref="E78:L78"/>
    <mergeCell ref="A13:F13"/>
    <mergeCell ref="J52:L52"/>
    <mergeCell ref="H72:I72"/>
    <mergeCell ref="E77:L77"/>
    <mergeCell ref="A71:E71"/>
    <mergeCell ref="J61:L61"/>
    <mergeCell ref="B39:E39"/>
    <mergeCell ref="A16:D16"/>
    <mergeCell ref="F56:G56"/>
    <mergeCell ref="F71:G71"/>
    <mergeCell ref="H65:I65"/>
    <mergeCell ref="J72:L72"/>
    <mergeCell ref="A51:F51"/>
    <mergeCell ref="B33:C33"/>
    <mergeCell ref="A52:E52"/>
    <mergeCell ref="H62:I62"/>
    <mergeCell ref="D33:E33"/>
    <mergeCell ref="B38:E38"/>
    <mergeCell ref="H71:I71"/>
    <mergeCell ref="H53:I53"/>
    <mergeCell ref="E18:L18"/>
    <mergeCell ref="D20:E20"/>
    <mergeCell ref="F68:G68"/>
    <mergeCell ref="A37:L37"/>
    <mergeCell ref="K33:L33"/>
    <mergeCell ref="I4:L4"/>
    <mergeCell ref="I38:L38"/>
    <mergeCell ref="A81:D81"/>
    <mergeCell ref="H55:I55"/>
    <mergeCell ref="B31:C31"/>
    <mergeCell ref="D22:E22"/>
    <mergeCell ref="A21:C21"/>
    <mergeCell ref="D31:E31"/>
    <mergeCell ref="I26:J26"/>
    <mergeCell ref="K26:L26"/>
    <mergeCell ref="B45:E45"/>
    <mergeCell ref="K35:L35"/>
    <mergeCell ref="A65:E65"/>
    <mergeCell ref="I40:L40"/>
    <mergeCell ref="J66:L66"/>
    <mergeCell ref="I25:J25"/>
    <mergeCell ref="A23:L23"/>
    <mergeCell ref="C6:F6"/>
  </mergeCells>
  <conditionalFormatting sqref="H26:H35">
    <cfRule type="cellIs" dxfId="2" priority="2" operator="equal">
      <formula>"not achieved / nesplněno"</formula>
    </cfRule>
    <cfRule type="cellIs" dxfId="1" priority="3" operator="equal">
      <formula>"not reported / nevykázáno"</formula>
    </cfRule>
  </conditionalFormatting>
  <conditionalFormatting sqref="J72:L72">
    <cfRule type="cellIs" dxfId="0" priority="4" operator="equal">
      <formula>"EXCEEDS THE 8 % LIMIT / PŘEKRAČUJE LIMIT 8 %"</formula>
    </cfRule>
  </conditionalFormatting>
  <dataValidations count="2">
    <dataValidation type="list" allowBlank="1" sqref="F7 I58" xr:uid="{00000000-0002-0000-0200-000000000000}">
      <formula1>"Yes / Ano,No / Ne"</formula1>
      <formula2>0</formula2>
    </dataValidation>
    <dataValidation type="list" allowBlank="1" sqref="G39:H46" xr:uid="{00000000-0002-0000-0200-000001000000}">
      <formula1>"notified only / pouze oznámeno,approved by change request / schváleno žádostí o změnu"</formula1>
      <formula2>0</formula2>
    </dataValidation>
  </dataValidations>
  <printOptions horizontalCentered="1"/>
  <pageMargins left="0.3" right="0.3" top="0.4" bottom="0.4" header="0.511811023622047" footer="0.511811023622047"/>
  <rowBreaks count="3" manualBreakCount="3">
    <brk id="22" max="16383" man="1"/>
    <brk id="49" max="16383" man="1"/>
    <brk id="72"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Identification Form</vt:lpstr>
      <vt:lpstr>Financial Report</vt:lpstr>
      <vt:lpstr>Final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Davor Mulalic</cp:lastModifiedBy>
  <cp:revision>0</cp:revision>
  <cp:lastPrinted>2026-09-11T10:16:51Z</cp:lastPrinted>
  <dcterms:created xsi:type="dcterms:W3CDTF">2026-08-02T21:42:38Z</dcterms:created>
  <dcterms:modified xsi:type="dcterms:W3CDTF">2026-10-14T23:38:41Z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3564849-fbfc-4795-ad59-055bb350645f_ActionId">
    <vt:lpwstr>8d00ff63-9461-498e-a568-49ca983a341d</vt:lpwstr>
  </property>
  <property fmtid="{D5CDD505-2E9C-101B-9397-08002B2CF9AE}" pid="3" name="MSIP_Label_b3564849-fbfc-4795-ad59-055bb350645f_ContentBits">
    <vt:lpwstr>0</vt:lpwstr>
  </property>
  <property fmtid="{D5CDD505-2E9C-101B-9397-08002B2CF9AE}" pid="4" name="MSIP_Label_b3564849-fbfc-4795-ad59-055bb350645f_Enabled">
    <vt:lpwstr>true</vt:lpwstr>
  </property>
  <property fmtid="{D5CDD505-2E9C-101B-9397-08002B2CF9AE}" pid="5" name="MSIP_Label_b3564849-fbfc-4795-ad59-055bb350645f_Method">
    <vt:lpwstr>Standard</vt:lpwstr>
  </property>
  <property fmtid="{D5CDD505-2E9C-101B-9397-08002B2CF9AE}" pid="6" name="MSIP_Label_b3564849-fbfc-4795-ad59-055bb350645f_Name">
    <vt:lpwstr>M102S01</vt:lpwstr>
  </property>
  <property fmtid="{D5CDD505-2E9C-101B-9397-08002B2CF9AE}" pid="7" name="MSIP_Label_b3564849-fbfc-4795-ad59-055bb350645f_SetDate">
    <vt:lpwstr>2026-08-03T05:37:06Z</vt:lpwstr>
  </property>
  <property fmtid="{D5CDD505-2E9C-101B-9397-08002B2CF9AE}" pid="8" name="MSIP_Label_b3564849-fbfc-4795-ad59-055bb350645f_SiteId">
    <vt:lpwstr>65154e19-ce31-44e2-97af-2480f4c17f95</vt:lpwstr>
  </property>
  <property fmtid="{D5CDD505-2E9C-101B-9397-08002B2CF9AE}" pid="9" name="MSIP_Label_b3564849-fbfc-4795-ad59-055bb350645f_Tag">
    <vt:lpwstr>10, 3, 0, 1</vt:lpwstr>
  </property>
</Properties>
</file>