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IVATE\Locker\PRIVATE\KVS_SCUBA\PROJECT\PROJECTS\DM\juli_2026\"/>
    </mc:Choice>
  </mc:AlternateContent>
  <xr:revisionPtr revIDLastSave="0" documentId="13_ncr:1_{01B8A28F-F8B2-4BBD-92FA-D8948855D9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azrada budzeta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1" l="1"/>
  <c r="E12" i="1"/>
  <c r="G12" i="1" s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<sst xmlns="http://schemas.openxmlformats.org/spreadsheetml/2006/main" count="31" uniqueCount="27">
  <si>
    <t>KLUB VODENIH SPORTOVA S.C.U.B.A. SARAJEVO</t>
  </si>
  <si>
    <t>Period realizacije: 01.08.2026. – 30.11.2026. (4 mjeseca)  |  Lokacije: Sanski Most, Jajce</t>
  </si>
  <si>
    <t>RAZRADA BUDŽETA</t>
  </si>
  <si>
    <t>Br.</t>
  </si>
  <si>
    <t>Kategorija</t>
  </si>
  <si>
    <t>Jed.</t>
  </si>
  <si>
    <t>Broj jed.</t>
  </si>
  <si>
    <t>Vlastiti trošak (KM)</t>
  </si>
  <si>
    <t>Trošak DM (KM)</t>
  </si>
  <si>
    <t>Ukupno (KM)</t>
  </si>
  <si>
    <t>Nabavka servisnih kitova za regulatore (održavanje ronilačke opreme)</t>
  </si>
  <si>
    <t>kom</t>
  </si>
  <si>
    <t>Dizajn, izrada i postavka fotografija za izložbu</t>
  </si>
  <si>
    <t>Promotivni materijal — komplet majica s printom za učesnike i volontere</t>
  </si>
  <si>
    <t>1 (serija)</t>
  </si>
  <si>
    <t>Štampa promotivnog materijala (baneri, zastave, letci)</t>
  </si>
  <si>
    <t>Transport opreme do lokacija (najam 2 kombija, po 2 dana korištenja na lokaciji)</t>
  </si>
  <si>
    <t>dan</t>
  </si>
  <si>
    <t>UKUPNO (KM)</t>
  </si>
  <si>
    <t>Napomena uz budžet:</t>
  </si>
  <si>
    <t>• Stavka 2 (izložbene fotografije) i stavka 5 (transport) finansiraju se iz vlastitih sredstava KVS „S.C.U.B.A.", u ukupnom iznosu od 7.300,00 KM.</t>
  </si>
  <si>
    <t>• Za stavku 1 dostavljen je predračun dobavljača Intea BH d.o.o. (ponuda br. 027-06/2026) u iznosu od 4.388,38 KM sa PDV-om.</t>
  </si>
  <si>
    <t>Traženi iznos podrške od dm-a: 9.438,38 KM.</t>
  </si>
  <si>
    <t>Izvor: predračuni Intea BH d.o.o., Sarajevo (ponude br. 027-06/2026 od 17.06.2026. i br. 039-06/2026 od 18.06.2026.), priloženi uz projektni prijedlog.</t>
  </si>
  <si>
    <t>Projekat: ČISTE VODE, ZDRAVA ZEMLJA (edicija 2026 DM kampanja „Žar za budućnost")</t>
  </si>
  <si>
    <t>• Stavke 1, 3 i 4 (servisni kitovi, majice, promotivni materijal) predstavljaju troškove koje pokriva DM podrška, u ukupnom iznosu od 9.438,38 KM.</t>
  </si>
  <si>
    <t>• Za stavke 2, 3 i 4 dostavljen je predračun dobavljača Intea BH d.o.o. (ponuda br. 039-06/2026) u ukupnom iznosu od 11.550,01 KM sa PDV-om (fotografije za izložbu 6.500,00 KM, majice 3.050,00 KM, promotivni materijal 2.000,00 KM), raspoređen prema procentualnom omjeru vlastitih sredstava i sredstava DM-a.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</si>
</sst>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KM&quot;;\-#,##0.00&quot; KM&quot;;\–"/>
    <numFmt numFmtId="165" formatCode="#,##0.00&quot; KM&quot;"/>
  </numFmts>
  <fonts count="10" x14ac:knownFonts="1">
    <font>
      <sz val="11"/>
      <color theme="1"/>
      <name val="Calibri"/>
      <family val="2"/>
      <charset val="1"/>
    </font>
    <font>
      <b/>
      <sz val="13"/>
      <color rgb="FF000000"/>
      <name val="Arial"/>
      <charset val="1"/>
    </font>
    <font>
      <b/>
      <sz val="11"/>
      <color rgb="FF000000"/>
      <name val="Arial"/>
      <charset val="1"/>
    </font>
    <font>
      <i/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9.5"/>
      <color rgb="FF000000"/>
      <name val="Arial"/>
      <charset val="1"/>
    </font>
    <font>
      <sz val="9.5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165" fontId="7" fillId="3" borderId="2" xfId="0" applyNumberFormat="1" applyFont="1" applyFill="1" applyBorder="1" applyAlignment="1">
      <alignment horizontal="right" vertical="center"/>
    </xf>
  </cellXfs>
  <cellStyles count="1">
    <cellStyle name="Normalno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zoomScaleNormal="100" workbookViewId="0">
      <selection activeCell="H1" sqref="H1"/>
    </sheetView>
  </sheetViews>
  <sheetFormatPr defaultColWidth="8.7109375" defaultRowHeight="15" x14ac:dyDescent="0.25"/>
  <cols>
    <col min="1" max="1" width="6" customWidth="1"/>
    <col min="2" max="2" width="46" customWidth="1"/>
    <col min="3" max="3" width="8" customWidth="1"/>
    <col min="4" max="4" width="12" customWidth="1"/>
    <col min="5" max="5" width="18" customWidth="1"/>
    <col min="6" max="6" width="16" customWidth="1"/>
    <col min="7" max="7" width="15" customWidth="1"/>
  </cols>
  <sheetData>
    <row r="1" spans="1:7" ht="16.5" x14ac:dyDescent="0.25">
      <c r="A1" s="7" t="s">
        <v>0</v>
      </c>
      <c r="B1" s="7"/>
      <c r="C1" s="7"/>
      <c r="D1" s="7"/>
      <c r="E1" s="7"/>
      <c r="F1" s="7"/>
      <c r="G1" s="7"/>
    </row>
    <row r="2" spans="1:7" x14ac:dyDescent="0.25">
      <c r="A2" s="6" t="s">
        <v>24</v>
      </c>
      <c r="B2" s="6"/>
      <c r="C2" s="6"/>
      <c r="D2" s="6"/>
      <c r="E2" s="6"/>
      <c r="F2" s="6"/>
      <c r="G2" s="6"/>
    </row>
    <row r="3" spans="1:7" x14ac:dyDescent="0.25">
      <c r="A3" s="5" t="s">
        <v>1</v>
      </c>
      <c r="B3" s="5"/>
      <c r="C3" s="5"/>
      <c r="D3" s="5"/>
      <c r="E3" s="5"/>
      <c r="F3" s="5"/>
      <c r="G3" s="5"/>
    </row>
    <row r="4" spans="1:7" ht="15.75" x14ac:dyDescent="0.25">
      <c r="A4" s="4" t="s">
        <v>2</v>
      </c>
      <c r="B4" s="4"/>
      <c r="C4" s="4"/>
      <c r="D4" s="4"/>
      <c r="E4" s="4"/>
      <c r="F4" s="4"/>
      <c r="G4" s="4"/>
    </row>
    <row r="6" spans="1:7" x14ac:dyDescent="0.25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</row>
    <row r="7" spans="1:7" ht="30" customHeight="1" x14ac:dyDescent="0.25">
      <c r="A7" s="9">
        <v>1</v>
      </c>
      <c r="B7" s="10" t="s">
        <v>10</v>
      </c>
      <c r="C7" s="9" t="s">
        <v>11</v>
      </c>
      <c r="D7" s="9">
        <v>16</v>
      </c>
      <c r="E7" s="11">
        <v>0</v>
      </c>
      <c r="F7" s="11">
        <v>4388.38</v>
      </c>
      <c r="G7" s="12">
        <f t="shared" ref="G7:G12" si="0">E7+F7</f>
        <v>4388.38</v>
      </c>
    </row>
    <row r="8" spans="1:7" ht="30" customHeight="1" x14ac:dyDescent="0.25">
      <c r="A8" s="9">
        <v>2</v>
      </c>
      <c r="B8" s="10" t="s">
        <v>12</v>
      </c>
      <c r="C8" s="9" t="s">
        <v>11</v>
      </c>
      <c r="D8" s="9">
        <v>1</v>
      </c>
      <c r="E8" s="11">
        <v>6500</v>
      </c>
      <c r="F8" s="11">
        <v>0</v>
      </c>
      <c r="G8" s="12">
        <f t="shared" si="0"/>
        <v>6500</v>
      </c>
    </row>
    <row r="9" spans="1:7" ht="30" customHeight="1" x14ac:dyDescent="0.25">
      <c r="A9" s="9">
        <v>3</v>
      </c>
      <c r="B9" s="10" t="s">
        <v>13</v>
      </c>
      <c r="C9" s="9" t="s">
        <v>11</v>
      </c>
      <c r="D9" s="9" t="s">
        <v>14</v>
      </c>
      <c r="E9" s="11">
        <v>0</v>
      </c>
      <c r="F9" s="11">
        <v>3050</v>
      </c>
      <c r="G9" s="12">
        <f t="shared" si="0"/>
        <v>3050</v>
      </c>
    </row>
    <row r="10" spans="1:7" ht="30" customHeight="1" x14ac:dyDescent="0.25">
      <c r="A10" s="9">
        <v>4</v>
      </c>
      <c r="B10" s="10" t="s">
        <v>15</v>
      </c>
      <c r="C10" s="9" t="s">
        <v>11</v>
      </c>
      <c r="D10" s="9" t="s">
        <v>14</v>
      </c>
      <c r="E10" s="11">
        <v>0</v>
      </c>
      <c r="F10" s="11">
        <v>2000</v>
      </c>
      <c r="G10" s="12">
        <f t="shared" si="0"/>
        <v>2000</v>
      </c>
    </row>
    <row r="11" spans="1:7" ht="30" customHeight="1" x14ac:dyDescent="0.25">
      <c r="A11" s="9">
        <v>5</v>
      </c>
      <c r="B11" s="10" t="s">
        <v>16</v>
      </c>
      <c r="C11" s="9" t="s">
        <v>17</v>
      </c>
      <c r="D11" s="9">
        <v>2</v>
      </c>
      <c r="E11" s="11">
        <v>800</v>
      </c>
      <c r="F11" s="11">
        <v>0</v>
      </c>
      <c r="G11" s="12">
        <f t="shared" si="0"/>
        <v>800</v>
      </c>
    </row>
    <row r="12" spans="1:7" ht="30" customHeight="1" x14ac:dyDescent="0.25">
      <c r="A12" s="13"/>
      <c r="B12" s="3" t="s">
        <v>18</v>
      </c>
      <c r="C12" s="3"/>
      <c r="D12" s="3"/>
      <c r="E12" s="14">
        <f>SUM(E7:E11)</f>
        <v>7300</v>
      </c>
      <c r="F12" s="14">
        <f>SUM(F7:F11)</f>
        <v>9438.380000000001</v>
      </c>
      <c r="G12" s="14">
        <f t="shared" si="0"/>
        <v>16738.38</v>
      </c>
    </row>
    <row r="14" spans="1:7" ht="15" customHeight="1" x14ac:dyDescent="0.25">
      <c r="A14" s="2" t="s">
        <v>19</v>
      </c>
      <c r="B14" s="2"/>
      <c r="C14" s="2"/>
      <c r="D14" s="2"/>
      <c r="E14" s="2"/>
      <c r="F14" s="2"/>
      <c r="G14" s="2"/>
    </row>
    <row r="15" spans="1:7" ht="15" customHeight="1" x14ac:dyDescent="0.25">
      <c r="A15" s="1" t="s">
        <v>20</v>
      </c>
      <c r="B15" s="1"/>
      <c r="C15" s="1"/>
      <c r="D15" s="1"/>
      <c r="E15" s="1"/>
      <c r="F15" s="1"/>
      <c r="G15" s="1"/>
    </row>
    <row r="16" spans="1:7" ht="15" customHeight="1" x14ac:dyDescent="0.25">
      <c r="A16" s="1" t="s">
        <v>25</v>
      </c>
      <c r="B16" s="1"/>
      <c r="C16" s="1"/>
      <c r="D16" s="1"/>
      <c r="E16" s="1"/>
      <c r="F16" s="1"/>
      <c r="G16" s="1"/>
    </row>
    <row r="17" spans="1:7" ht="15" customHeight="1" x14ac:dyDescent="0.25">
      <c r="A17" s="1" t="s">
        <v>21</v>
      </c>
      <c r="B17" s="1"/>
      <c r="C17" s="1"/>
      <c r="D17" s="1"/>
      <c r="E17" s="1"/>
      <c r="F17" s="1"/>
      <c r="G17" s="1"/>
    </row>
    <row r="18" spans="1:7" ht="35.1" customHeight="1" x14ac:dyDescent="0.25">
      <c r="A18" s="1" t="s">
        <v>26</v>
      </c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ht="15" customHeight="1" x14ac:dyDescent="0.25">
      <c r="A20" s="2" t="s">
        <v>22</v>
      </c>
      <c r="B20" s="2"/>
      <c r="C20" s="2"/>
      <c r="D20" s="2"/>
      <c r="E20" s="2"/>
      <c r="F20" s="2"/>
      <c r="G20" s="2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23.85" customHeight="1" x14ac:dyDescent="0.25">
      <c r="A22" s="1" t="s">
        <v>23</v>
      </c>
      <c r="B22" s="1"/>
      <c r="C22" s="1"/>
      <c r="D22" s="1"/>
      <c r="E22" s="1"/>
      <c r="F22" s="1"/>
      <c r="G22" s="1"/>
    </row>
  </sheetData>
  <mergeCells count="14">
    <mergeCell ref="A19:G19"/>
    <mergeCell ref="A20:G20"/>
    <mergeCell ref="A21:G21"/>
    <mergeCell ref="A22:G22"/>
    <mergeCell ref="A14:G14"/>
    <mergeCell ref="A15:G15"/>
    <mergeCell ref="A16:G16"/>
    <mergeCell ref="A17:G17"/>
    <mergeCell ref="A18:G18"/>
    <mergeCell ref="A1:G1"/>
    <mergeCell ref="A2:G2"/>
    <mergeCell ref="A3:G3"/>
    <mergeCell ref="A4:G4"/>
    <mergeCell ref="B12:D12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Razrada budzeta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Davor Mulalic</cp:lastModifiedBy>
  <cp:revision>0</cp:revision>
  <cp:lastPrinted>2026-07-22T20:43:16Z</cp:lastPrinted>
  <dcterms:created xsi:type="dcterms:W3CDTF">2026-07-22T20:37:02Z</dcterms:created>
  <dcterms:modified xsi:type="dcterms:W3CDTF">2026-07-22T20:43:23Z</dcterms:modified>
  <dc:language>en-US</dc:language>
</cp:coreProperties>
</file>